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  <sheet state="visible" name="Sheet1" sheetId="2" r:id="rId6"/>
    <sheet state="visible" name="Pivots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<sst xmlns="http://schemas.openxmlformats.org/spreadsheetml/2006/main" count="1425" uniqueCount="146">
  <si>
    <t>ID</t>
  </si>
  <si>
    <t>Date</t>
  </si>
  <si>
    <t>Time</t>
  </si>
  <si>
    <t>Area</t>
  </si>
  <si>
    <t>Locality</t>
  </si>
  <si>
    <t>ETA (mins)</t>
  </si>
  <si>
    <t>ETA_mins</t>
  </si>
  <si>
    <t>Basket Items</t>
  </si>
  <si>
    <t>Basket ₹</t>
  </si>
  <si>
    <t>ETA_Clean</t>
  </si>
  <si>
    <t>Available Items</t>
  </si>
  <si>
    <t>Unavailable</t>
  </si>
  <si>
    <t>SLA Compliance Status</t>
  </si>
  <si>
    <t>Availability %</t>
  </si>
  <si>
    <t>Stockout</t>
  </si>
  <si>
    <t>Unserviceable Flag</t>
  </si>
  <si>
    <t>Weather</t>
  </si>
  <si>
    <t>Rain</t>
  </si>
  <si>
    <t>Surge Pricing Flag</t>
  </si>
  <si>
    <t>Peak</t>
  </si>
  <si>
    <t>Notes</t>
  </si>
  <si>
    <t>OBS001</t>
  </si>
  <si>
    <t>Availability_Pct</t>
  </si>
  <si>
    <t>Patiala</t>
  </si>
  <si>
    <t>Thapar University</t>
  </si>
  <si>
    <t>₹533</t>
  </si>
  <si>
    <t>Clear</t>
  </si>
  <si>
    <t>No</t>
  </si>
  <si>
    <t>Normal</t>
  </si>
  <si>
    <t>OBS002</t>
  </si>
  <si>
    <t>Sequence_ID</t>
  </si>
  <si>
    <t>New Bus Stand Patiala</t>
  </si>
  <si>
    <t>₹534</t>
  </si>
  <si>
    <t>OBS003</t>
  </si>
  <si>
    <t>10:02:00 AM</t>
  </si>
  <si>
    <t>Model Town</t>
  </si>
  <si>
    <t>OBS004</t>
  </si>
  <si>
    <t>OBS005</t>
  </si>
  <si>
    <t>OBS006</t>
  </si>
  <si>
    <t>OBS007</t>
  </si>
  <si>
    <t>OBS008</t>
  </si>
  <si>
    <t>OBS009</t>
  </si>
  <si>
    <t>OBS010</t>
  </si>
  <si>
    <t>OBS011</t>
  </si>
  <si>
    <t>OBS012</t>
  </si>
  <si>
    <t>OBS013</t>
  </si>
  <si>
    <t>OBS014</t>
  </si>
  <si>
    <t>OBS015</t>
  </si>
  <si>
    <t>OBS016</t>
  </si>
  <si>
    <t>OBS017</t>
  </si>
  <si>
    <t>OBS018</t>
  </si>
  <si>
    <t>OBS019</t>
  </si>
  <si>
    <t>OBS020</t>
  </si>
  <si>
    <t>OBS021</t>
  </si>
  <si>
    <t>OBS022</t>
  </si>
  <si>
    <t>OBS023</t>
  </si>
  <si>
    <t>OBS024</t>
  </si>
  <si>
    <t>OBS025</t>
  </si>
  <si>
    <t>OBS026</t>
  </si>
  <si>
    <t>OBS027</t>
  </si>
  <si>
    <t>OBS028</t>
  </si>
  <si>
    <t>OBS029</t>
  </si>
  <si>
    <t>OBS030</t>
  </si>
  <si>
    <t>OBS031</t>
  </si>
  <si>
    <t>OBS032</t>
  </si>
  <si>
    <t>OBS033</t>
  </si>
  <si>
    <t>OBS034</t>
  </si>
  <si>
    <t>10:35:00 AM</t>
  </si>
  <si>
    <t>OBS035</t>
  </si>
  <si>
    <t>OBS036</t>
  </si>
  <si>
    <t>OBS037</t>
  </si>
  <si>
    <t>OBS038</t>
  </si>
  <si>
    <t>OBS039</t>
  </si>
  <si>
    <t>OBS040</t>
  </si>
  <si>
    <t>OBS041</t>
  </si>
  <si>
    <t>OBS042</t>
  </si>
  <si>
    <t>OBS043</t>
  </si>
  <si>
    <t>Yes</t>
  </si>
  <si>
    <t>Surge Pricing</t>
  </si>
  <si>
    <t>OBS044</t>
  </si>
  <si>
    <t>OBS045</t>
  </si>
  <si>
    <t>11:04:00 AM</t>
  </si>
  <si>
    <t>OBS046</t>
  </si>
  <si>
    <t>OBS047</t>
  </si>
  <si>
    <t>OBS048</t>
  </si>
  <si>
    <t>OBS049</t>
  </si>
  <si>
    <t>OBS050</t>
  </si>
  <si>
    <t>OBS051</t>
  </si>
  <si>
    <t>OBS052</t>
  </si>
  <si>
    <t>OBS053</t>
  </si>
  <si>
    <t>OBS054</t>
  </si>
  <si>
    <t>OBS055</t>
  </si>
  <si>
    <t>OBS056</t>
  </si>
  <si>
    <t>OBS057</t>
  </si>
  <si>
    <t>11:42:00 AM</t>
  </si>
  <si>
    <t>OBS058</t>
  </si>
  <si>
    <t>OBS059</t>
  </si>
  <si>
    <t>OBS060</t>
  </si>
  <si>
    <t>OBS061</t>
  </si>
  <si>
    <t>OBS062</t>
  </si>
  <si>
    <t>OBS063</t>
  </si>
  <si>
    <t>OBS064</t>
  </si>
  <si>
    <t>OBS065</t>
  </si>
  <si>
    <t>OBS066</t>
  </si>
  <si>
    <t>NA</t>
  </si>
  <si>
    <t>-</t>
  </si>
  <si>
    <t>Not Available</t>
  </si>
  <si>
    <t>OBS067</t>
  </si>
  <si>
    <t>OBS068</t>
  </si>
  <si>
    <t>OBS069</t>
  </si>
  <si>
    <t>OBS070</t>
  </si>
  <si>
    <t>OBS071</t>
  </si>
  <si>
    <t>OBS072</t>
  </si>
  <si>
    <t>12:02:00 PM</t>
  </si>
  <si>
    <t>OBS073</t>
  </si>
  <si>
    <t>OBS074</t>
  </si>
  <si>
    <t>OBS075</t>
  </si>
  <si>
    <t>OBS076</t>
  </si>
  <si>
    <t>OBS077</t>
  </si>
  <si>
    <t>OBS078</t>
  </si>
  <si>
    <t>12:34:00 PM</t>
  </si>
  <si>
    <t>1:06:00 PM</t>
  </si>
  <si>
    <t>1:34:00 PM</t>
  </si>
  <si>
    <t>2:05:00 PM</t>
  </si>
  <si>
    <t>2:34:00 PM</t>
  </si>
  <si>
    <t>3:00:00 PM</t>
  </si>
  <si>
    <t>3:33:00 PM</t>
  </si>
  <si>
    <t>4:05:00 PM</t>
  </si>
  <si>
    <t>4:33:00 PM</t>
  </si>
  <si>
    <t>5:03:00 PM</t>
  </si>
  <si>
    <t>5:40:00 PM</t>
  </si>
  <si>
    <t>6:03:00 PM</t>
  </si>
  <si>
    <t>6:45:00 PM</t>
  </si>
  <si>
    <t>7:03:00 PM</t>
  </si>
  <si>
    <t>7:32:00 PM</t>
  </si>
  <si>
    <t>8:01:00 PM</t>
  </si>
  <si>
    <t>8:34:00 PM</t>
  </si>
  <si>
    <t>9:00:00 PM</t>
  </si>
  <si>
    <t>9:32:00 PM</t>
  </si>
  <si>
    <t>10:00:00 PM</t>
  </si>
  <si>
    <t>10:30:00 PM</t>
  </si>
  <si>
    <t>AVERAGE of ETA_mins</t>
  </si>
  <si>
    <t>SUM of Surge Pricing Flag</t>
  </si>
  <si>
    <t>AVERAGE of Unserviceable Flag</t>
  </si>
  <si>
    <t>Time - Hour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</si>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</sst>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00" sheet="Sheet1"/>
  </cacheSource>
  <cacheFields>
    <cacheField name="ID" numFmtId="49">
      <sharedItems containsBlank="1">
        <s v="OBS001"/>
        <s v="OBS002"/>
        <s v="OBS003"/>
        <s v="OBS004"/>
        <s v="OBS005"/>
        <s v="OBS006"/>
        <s v="OBS007"/>
        <s v="OBS008"/>
        <s v="OBS009"/>
        <s v="OBS010"/>
        <s v="OBS011"/>
        <s v="OBS012"/>
        <s v="OBS013"/>
        <s v="OBS014"/>
        <s v="OBS015"/>
        <s v="OBS016"/>
        <s v="OBS017"/>
        <s v="OBS018"/>
        <s v="OBS019"/>
        <s v="OBS020"/>
        <s v="OBS021"/>
        <s v="OBS022"/>
        <s v="OBS023"/>
        <s v="OBS024"/>
        <s v="OBS025"/>
        <s v="OBS026"/>
        <s v="OBS027"/>
        <s v="OBS028"/>
        <s v="OBS029"/>
        <s v="OBS030"/>
        <s v="OBS031"/>
        <s v="OBS032"/>
        <s v="OBS033"/>
        <s v="OBS034"/>
        <s v="OBS035"/>
        <s v="OBS036"/>
        <s v="OBS037"/>
        <s v="OBS038"/>
        <s v="OBS039"/>
        <s v="OBS040"/>
        <s v="OBS041"/>
        <s v="OBS042"/>
        <s v="OBS043"/>
        <s v="OBS044"/>
        <s v="OBS045"/>
        <s v="OBS046"/>
        <s v="OBS047"/>
        <s v="OBS048"/>
        <s v="OBS049"/>
        <s v="OBS050"/>
        <s v="OBS051"/>
        <s v="OBS052"/>
        <s v="OBS053"/>
        <s v="OBS054"/>
        <s v="OBS055"/>
        <s v="OBS056"/>
        <s v="OBS057"/>
        <s v="OBS058"/>
        <s v="OBS059"/>
        <s v="OBS060"/>
        <s v="OBS061"/>
        <s v="OBS062"/>
        <s v="OBS063"/>
        <s v="OBS064"/>
        <s v="OBS065"/>
        <s v="OBS066"/>
        <s v="OBS067"/>
        <s v="OBS068"/>
        <s v="OBS069"/>
        <s v="OBS070"/>
        <s v="OBS071"/>
        <s v="OBS072"/>
        <s v="OBS073"/>
        <s v="OBS074"/>
        <s v="OBS075"/>
        <s v="OBS076"/>
        <s v="OBS077"/>
        <s v="OBS078"/>
        <m/>
      </sharedItems>
    </cacheField>
    <cacheField name="Date" numFmtId="164">
      <sharedItems containsDate="1" containsString="0" containsBlank="1">
        <d v="2026-09-17T00:00:00Z"/>
        <m/>
      </sharedItems>
    </cacheField>
    <cacheField name="Time" numFmtId="49">
      <sharedItems containsBlank="1">
        <s v="10:02:00 AM"/>
        <s v="10:35:00 AM"/>
        <s v="11:04:00 AM"/>
        <s v="11:42:00 AM"/>
        <s v="12:02:00 PM"/>
        <s v="12:34:00 PM"/>
        <s v="1:06:00 PM"/>
        <s v="1:34:00 PM"/>
        <s v="2:05:00 PM"/>
        <s v="2:34:00 PM"/>
        <s v="3:00:00 PM"/>
        <s v="3:33:00 PM"/>
        <s v="4:05:00 PM"/>
        <s v="4:33:00 PM"/>
        <s v="5:03:00 PM"/>
        <s v="5:40:00 PM"/>
        <s v="6:03:00 PM"/>
        <s v="6:45:00 PM"/>
        <s v="7:03:00 PM"/>
        <s v="7:32:00 PM"/>
        <s v="8:01:00 PM"/>
        <s v="8:34:00 PM"/>
        <s v="9:00:00 PM"/>
        <s v="9:32:00 PM"/>
        <s v="10:00:00 PM"/>
        <s v="10:30:00 PM"/>
        <m/>
      </sharedItems>
    </cacheField>
    <cacheField name="Area" numFmtId="0">
      <sharedItems containsBlank="1">
        <s v="Patiala"/>
        <m/>
      </sharedItems>
    </cacheField>
    <cacheField name="Locality" numFmtId="0">
      <sharedItems containsBlank="1">
        <s v="Thapar University"/>
        <s v="New Bus Stand Patiala"/>
        <s v="Model Town"/>
        <m/>
      </sharedItems>
    </cacheField>
    <cacheField name="ETA_mins">
      <sharedItems containsBlank="1" containsMixedTypes="1" containsNumber="1" containsInteger="1">
        <n v="21.0"/>
        <n v="8.0"/>
        <n v="18.0"/>
        <n v="11.0"/>
        <n v="12.0"/>
        <n v="14.0"/>
        <n v="15.0"/>
        <n v="16.0"/>
        <n v="10.0"/>
        <n v="17.0"/>
        <n v="23.0"/>
        <n v="22.0"/>
        <n v="20.0"/>
        <n v="13.0"/>
        <n v="19.0"/>
        <n v="24.0"/>
        <n v="28.0"/>
        <n v="30.0"/>
        <s v="NA"/>
        <n v="26.0"/>
        <m/>
      </sharedItems>
    </cacheField>
    <cacheField name="ETA_Clean">
      <sharedItems containsBlank="1" containsMixedTypes="1" containsNumber="1" containsInteger="1">
        <n v="21.0"/>
        <n v="8.0"/>
        <n v="18.0"/>
        <n v="11.0"/>
        <n v="12.0"/>
        <n v="14.0"/>
        <n v="15.0"/>
        <n v="16.0"/>
        <n v="10.0"/>
        <n v="17.0"/>
        <n v="23.0"/>
        <n v="22.0"/>
        <n v="20.0"/>
        <n v="13.0"/>
        <n v="19.0"/>
        <n v="24.0"/>
        <n v="28.0"/>
        <n v="30.0"/>
        <s v=""/>
        <n v="26.0"/>
        <m/>
      </sharedItems>
    </cacheField>
    <cacheField name="SLA Compliance Status" numFmtId="0">
      <sharedItems containsBlank="1">
        <s v="SLA Breach (&gt;20m)"/>
        <s v="On-Time (&lt;=15m)"/>
        <s v="Moderate (16-20m)"/>
        <m/>
      </sharedItems>
    </cacheField>
    <cacheField name="Unserviceable Flag" numFmtId="0">
      <sharedItems containsString="0" containsBlank="1" containsNumber="1" containsInteger="1">
        <n v="0.0"/>
        <n v="1.0"/>
        <m/>
      </sharedItems>
    </cacheField>
    <cacheField name="Surge Pricing Flag" numFmtId="0">
      <sharedItems containsString="0" containsBlank="1" containsNumber="1" containsInteger="1">
        <n v="0.0"/>
        <n v="1.0"/>
        <m/>
      </sharedItems>
    </cacheField>
    <cacheField name="Basket Items" numFmtId="0">
      <sharedItems containsString="0" containsBlank="1" containsNumber="1" containsInteger="1">
        <n v="11.0"/>
        <m/>
      </sharedItems>
    </cacheField>
    <cacheField name="Basket ₹" numFmtId="0">
      <sharedItems containsBlank="1">
        <s v="₹533"/>
        <s v="₹534"/>
        <m/>
      </sharedItems>
    </cacheField>
    <cacheField name="Available Items" numFmtId="0">
      <sharedItems containsString="0" containsBlank="1" containsNumber="1" containsInteger="1">
        <n v="11.0"/>
        <n v="0.0"/>
        <m/>
      </sharedItems>
    </cacheField>
    <cacheField name="Unavailable" numFmtId="0">
      <sharedItems containsString="0" containsBlank="1" containsNumber="1" containsInteger="1">
        <n v="0.0"/>
        <n v="11.0"/>
        <m/>
      </sharedItems>
    </cacheField>
    <cacheField name="Availability_Pct" numFmtId="10">
      <sharedItems containsString="0" containsBlank="1" containsNumber="1" containsInteger="1">
        <n v="1.0"/>
        <n v="0.0"/>
        <m/>
      </sharedItems>
    </cacheField>
    <cacheField name="Stockout" numFmtId="9">
      <sharedItems containsString="0" containsBlank="1" containsNumber="1" containsInteger="1">
        <n v="0.0"/>
        <n v="1.0"/>
        <m/>
      </sharedItems>
    </cacheField>
    <cacheField name="Weather" numFmtId="0">
      <sharedItems containsBlank="1">
        <s v="Clear"/>
        <m/>
      </sharedItems>
    </cacheField>
    <cacheField name="Rain" numFmtId="0">
      <sharedItems containsBlank="1">
        <s v="No"/>
        <m/>
      </sharedItems>
    </cacheField>
    <cacheField name="Peak" numFmtId="0">
      <sharedItems containsBlank="1">
        <s v="No"/>
        <s v="Yes"/>
        <s v="-"/>
        <m/>
      </sharedItems>
    </cacheField>
    <cacheField name="Notes" numFmtId="0">
      <sharedItems containsBlank="1">
        <s v="Normal"/>
        <s v="Surge Pricing"/>
        <s v="Not Availab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00" sheet="Sheet1"/>
  </cacheSource>
  <cacheFields>
    <cacheField name="ID" numFmtId="49">
      <sharedItems containsBlank="1">
        <s v="OBS001"/>
        <s v="OBS002"/>
        <s v="OBS003"/>
        <s v="OBS004"/>
        <s v="OBS005"/>
        <s v="OBS006"/>
        <s v="OBS007"/>
        <s v="OBS008"/>
        <s v="OBS009"/>
        <s v="OBS010"/>
        <s v="OBS011"/>
        <s v="OBS012"/>
        <s v="OBS013"/>
        <s v="OBS014"/>
        <s v="OBS015"/>
        <s v="OBS016"/>
        <s v="OBS017"/>
        <s v="OBS018"/>
        <s v="OBS019"/>
        <s v="OBS020"/>
        <s v="OBS021"/>
        <s v="OBS022"/>
        <s v="OBS023"/>
        <s v="OBS024"/>
        <s v="OBS025"/>
        <s v="OBS026"/>
        <s v="OBS027"/>
        <s v="OBS028"/>
        <s v="OBS029"/>
        <s v="OBS030"/>
        <s v="OBS031"/>
        <s v="OBS032"/>
        <s v="OBS033"/>
        <s v="OBS034"/>
        <s v="OBS035"/>
        <s v="OBS036"/>
        <s v="OBS037"/>
        <s v="OBS038"/>
        <s v="OBS039"/>
        <s v="OBS040"/>
        <s v="OBS041"/>
        <s v="OBS042"/>
        <s v="OBS043"/>
        <s v="OBS044"/>
        <s v="OBS045"/>
        <s v="OBS046"/>
        <s v="OBS047"/>
        <s v="OBS048"/>
        <s v="OBS049"/>
        <s v="OBS050"/>
        <s v="OBS051"/>
        <s v="OBS052"/>
        <s v="OBS053"/>
        <s v="OBS054"/>
        <s v="OBS055"/>
        <s v="OBS056"/>
        <s v="OBS057"/>
        <s v="OBS058"/>
        <s v="OBS059"/>
        <s v="OBS060"/>
        <s v="OBS061"/>
        <s v="OBS062"/>
        <s v="OBS063"/>
        <s v="OBS064"/>
        <s v="OBS065"/>
        <s v="OBS066"/>
        <s v="OBS067"/>
        <s v="OBS068"/>
        <s v="OBS069"/>
        <s v="OBS070"/>
        <s v="OBS071"/>
        <s v="OBS072"/>
        <s v="OBS073"/>
        <s v="OBS074"/>
        <s v="OBS075"/>
        <s v="OBS076"/>
        <s v="OBS077"/>
        <s v="OBS078"/>
        <m/>
      </sharedItems>
    </cacheField>
    <cacheField name="Date" numFmtId="164">
      <sharedItems containsDate="1" containsString="0" containsBlank="1">
        <d v="2026-09-17T00:00:00Z"/>
        <m/>
      </sharedItems>
    </cacheField>
    <cacheField name="Time" numFmtId="49">
      <sharedItems containsBlank="1">
        <s v="10:02:00 AM"/>
        <s v="10:35:00 AM"/>
        <s v="11:04:00 AM"/>
        <s v="11:42:00 AM"/>
        <s v="12:02:00 PM"/>
        <s v="12:34:00 PM"/>
        <s v="1:06:00 PM"/>
        <s v="1:34:00 PM"/>
        <s v="2:05:00 PM"/>
        <s v="2:34:00 PM"/>
        <s v="3:00:00 PM"/>
        <s v="3:33:00 PM"/>
        <s v="4:05:00 PM"/>
        <s v="4:33:00 PM"/>
        <s v="5:03:00 PM"/>
        <s v="5:40:00 PM"/>
        <s v="6:03:00 PM"/>
        <s v="6:45:00 PM"/>
        <s v="7:03:00 PM"/>
        <s v="7:32:00 PM"/>
        <s v="8:01:00 PM"/>
        <s v="8:34:00 PM"/>
        <s v="9:00:00 PM"/>
        <s v="9:32:00 PM"/>
        <s v="10:00:00 PM"/>
        <s v="10:30:00 PM"/>
        <m/>
      </sharedItems>
    </cacheField>
    <cacheField name="Area" numFmtId="0">
      <sharedItems containsBlank="1">
        <s v="Patiala"/>
        <m/>
      </sharedItems>
    </cacheField>
    <cacheField name="Locality" numFmtId="0">
      <sharedItems containsBlank="1">
        <s v="Thapar University"/>
        <s v="New Bus Stand Patiala"/>
        <s v="Model Town"/>
        <m/>
      </sharedItems>
    </cacheField>
    <cacheField name="ETA_mins">
      <sharedItems containsBlank="1" containsMixedTypes="1" containsNumber="1" containsInteger="1">
        <n v="21.0"/>
        <n v="8.0"/>
        <n v="18.0"/>
        <n v="11.0"/>
        <n v="12.0"/>
        <n v="14.0"/>
        <n v="15.0"/>
        <n v="16.0"/>
        <n v="10.0"/>
        <n v="17.0"/>
        <n v="23.0"/>
        <n v="22.0"/>
        <n v="20.0"/>
        <n v="13.0"/>
        <n v="19.0"/>
        <n v="24.0"/>
        <n v="28.0"/>
        <n v="30.0"/>
        <s v="NA"/>
        <n v="26.0"/>
        <m/>
      </sharedItems>
    </cacheField>
    <cacheField name="ETA_Clean">
      <sharedItems containsBlank="1" containsMixedTypes="1" containsNumber="1" containsInteger="1">
        <n v="21.0"/>
        <n v="8.0"/>
        <n v="18.0"/>
        <n v="11.0"/>
        <n v="12.0"/>
        <n v="14.0"/>
        <n v="15.0"/>
        <n v="16.0"/>
        <n v="10.0"/>
        <n v="17.0"/>
        <n v="23.0"/>
        <n v="22.0"/>
        <n v="20.0"/>
        <n v="13.0"/>
        <n v="19.0"/>
        <n v="24.0"/>
        <n v="28.0"/>
        <n v="30.0"/>
        <s v=""/>
        <n v="26.0"/>
        <m/>
      </sharedItems>
    </cacheField>
    <cacheField name="SLA Compliance Status" numFmtId="0">
      <sharedItems containsBlank="1">
        <s v="SLA Breach (&gt;20m)"/>
        <s v="On-Time (&lt;=15m)"/>
        <s v="Moderate (16-20m)"/>
        <m/>
      </sharedItems>
    </cacheField>
    <cacheField name="Unserviceable Flag" numFmtId="0">
      <sharedItems containsString="0" containsBlank="1" containsNumber="1" containsInteger="1">
        <n v="0.0"/>
        <n v="1.0"/>
        <m/>
      </sharedItems>
    </cacheField>
    <cacheField name="Surge Pricing Flag" numFmtId="0">
      <sharedItems containsString="0" containsBlank="1" containsNumber="1" containsInteger="1">
        <n v="0.0"/>
        <n v="1.0"/>
        <m/>
      </sharedItems>
    </cacheField>
    <cacheField name="Basket Items" numFmtId="0">
      <sharedItems containsString="0" containsBlank="1" containsNumber="1" containsInteger="1">
        <n v="11.0"/>
        <m/>
      </sharedItems>
    </cacheField>
    <cacheField name="Basket ₹" numFmtId="0">
      <sharedItems containsBlank="1">
        <s v="₹533"/>
        <s v="₹534"/>
        <m/>
      </sharedItems>
    </cacheField>
    <cacheField name="Available Items" numFmtId="0">
      <sharedItems containsString="0" containsBlank="1" containsNumber="1" containsInteger="1">
        <n v="11.0"/>
        <n v="0.0"/>
        <m/>
      </sharedItems>
    </cacheField>
    <cacheField name="Unavailable" numFmtId="0">
      <sharedItems containsString="0" containsBlank="1" containsNumber="1" containsInteger="1">
        <n v="0.0"/>
        <n v="11.0"/>
        <m/>
      </sharedItems>
    </cacheField>
    <cacheField name="Availability_Pct" numFmtId="10">
      <sharedItems containsString="0" containsBlank="1" containsNumber="1" containsInteger="1">
        <n v="1.0"/>
        <n v="0.0"/>
        <m/>
      </sharedItems>
    </cacheField>
    <cacheField name="Stockout" numFmtId="9">
      <sharedItems containsString="0" containsBlank="1" containsNumber="1" containsInteger="1">
        <n v="0.0"/>
        <n v="1.0"/>
        <m/>
      </sharedItems>
    </cacheField>
    <cacheField name="Weather" numFmtId="0">
      <sharedItems containsBlank="1">
        <s v="Clear"/>
        <m/>
      </sharedItems>
    </cacheField>
    <cacheField name="Rain" numFmtId="0">
      <sharedItems containsBlank="1">
        <s v="No"/>
        <m/>
      </sharedItems>
    </cacheField>
    <cacheField name="Peak" numFmtId="0">
      <sharedItems containsBlank="1">
        <s v="No"/>
        <s v="Yes"/>
        <s v="-"/>
        <m/>
      </sharedItems>
    </cacheField>
    <cacheField name="Notes" numFmtId="0">
      <sharedItems containsBlank="1">
        <s v="Normal"/>
        <s v="Surge Pricing"/>
        <s v="Not Availabl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s" cacheId="1" dataCaption="" compact="0" compactData="0">
  <location ref="A1:F30" firstHeaderRow="0" firstDataRow="1" firstDataCol="1"/>
  <pivotFields>
    <pivotField name="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ate" compact="0" numFmtId="164" outline="0" multipleItemSelectionAllowed="1" showAll="0">
      <items>
        <item x="0"/>
        <item x="1"/>
        <item t="default"/>
      </items>
    </pivotField>
    <pivotField name="Time" axis="axisRow" compact="0" numFmtId="49" outline="0" multipleItemSelectionAllowed="1" showAll="0" sortType="ascending">
      <items>
        <item x="26"/>
        <item x="6"/>
        <item x="7"/>
        <item x="24"/>
        <item x="0"/>
        <item x="25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Locality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ETA_mi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TA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LA Compliance Status" compact="0" outline="0" multipleItemSelectionAllowed="1" showAll="0">
      <items>
        <item x="0"/>
        <item x="1"/>
        <item x="2"/>
        <item x="3"/>
        <item t="default"/>
      </items>
    </pivotField>
    <pivotField name="Unserviceable Flag" compact="0" outline="0" multipleItemSelectionAllowed="1" showAll="0">
      <items>
        <item x="0"/>
        <item x="1"/>
        <item x="2"/>
        <item t="default"/>
      </items>
    </pivotField>
    <pivotField name="Surge Pricing Flag" compact="0" outline="0" multipleItemSelectionAllowed="1" showAll="0">
      <items>
        <item x="0"/>
        <item x="1"/>
        <item x="2"/>
        <item t="default"/>
      </items>
    </pivotField>
    <pivotField name="Basket Items" compact="0" outline="0" multipleItemSelectionAllowed="1" showAll="0">
      <items>
        <item x="0"/>
        <item x="1"/>
        <item t="default"/>
      </items>
    </pivotField>
    <pivotField name="Basket ₹" compact="0" outline="0" multipleItemSelectionAllowed="1" showAll="0">
      <items>
        <item x="0"/>
        <item x="1"/>
        <item x="2"/>
        <item t="default"/>
      </items>
    </pivotField>
    <pivotField name="Available Items" compact="0" outline="0" multipleItemSelectionAllowed="1" showAll="0">
      <items>
        <item x="0"/>
        <item x="1"/>
        <item x="2"/>
        <item t="default"/>
      </items>
    </pivotField>
    <pivotField name="Unavailable" compact="0" outline="0" multipleItemSelectionAllowed="1" showAll="0">
      <items>
        <item x="0"/>
        <item x="1"/>
        <item x="2"/>
        <item t="default"/>
      </items>
    </pivotField>
    <pivotField name="Availability_Pct" compact="0" numFmtId="10" outline="0" multipleItemSelectionAllowed="1" showAll="0">
      <items>
        <item x="0"/>
        <item x="1"/>
        <item x="2"/>
        <item t="default"/>
      </items>
    </pivotField>
    <pivotField name="Stockout" compact="0" numFmtId="9" outline="0" multipleItemSelectionAllowed="1" showAll="0">
      <items>
        <item x="0"/>
        <item x="1"/>
        <item x="2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Rain" compact="0" outline="0" multipleItemSelectionAllowed="1" showAll="0">
      <items>
        <item x="0"/>
        <item x="1"/>
        <item t="default"/>
      </items>
    </pivotField>
    <pivotField name="Peak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4"/>
  </colFields>
  <dataFields>
    <dataField name="AVERAGE of ETA_mins" fld="5" subtotal="average" baseField="0"/>
  </dataFields>
</pivotTableDefinition>
</file>

<file path=xl/pivotTables/pivotTable2.xml><?xml version="1.0" encoding="utf-8"?>
<pivotTableDefinition xmlns="http://schemas.openxmlformats.org/spreadsheetml/2006/main" name="Pivots 2" cacheId="0" dataCaption="" compact="0" compactData="0">
  <location ref="I1:J6" firstHeaderRow="0" firstDataRow="1" firstDataCol="0"/>
  <pivotFields>
    <pivotField name="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ate" compact="0" numFmtId="164" outline="0" multipleItemSelectionAllowed="1" showAll="0">
      <items>
        <item x="0"/>
        <item x="1"/>
        <item t="default"/>
      </items>
    </pivotField>
    <pivotField name="Ti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Locality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ETA_m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TA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LA Compliance Status" compact="0" outline="0" multipleItemSelectionAllowed="1" showAll="0">
      <items>
        <item x="0"/>
        <item x="1"/>
        <item x="2"/>
        <item x="3"/>
        <item t="default"/>
      </items>
    </pivotField>
    <pivotField name="Unserviceable Flag" compact="0" outline="0" multipleItemSelectionAllowed="1" showAll="0">
      <items>
        <item x="0"/>
        <item x="1"/>
        <item x="2"/>
        <item t="default"/>
      </items>
    </pivotField>
    <pivotField name="Surge Pricing Flag" dataField="1" compact="0" outline="0" multipleItemSelectionAllowed="1" showAll="0">
      <items>
        <item x="0"/>
        <item x="1"/>
        <item x="2"/>
        <item t="default"/>
      </items>
    </pivotField>
    <pivotField name="Basket Items" compact="0" outline="0" multipleItemSelectionAllowed="1" showAll="0">
      <items>
        <item x="0"/>
        <item x="1"/>
        <item t="default"/>
      </items>
    </pivotField>
    <pivotField name="Basket ₹" compact="0" outline="0" multipleItemSelectionAllowed="1" showAll="0">
      <items>
        <item x="0"/>
        <item x="1"/>
        <item x="2"/>
        <item t="default"/>
      </items>
    </pivotField>
    <pivotField name="Available Items" compact="0" outline="0" multipleItemSelectionAllowed="1" showAll="0">
      <items>
        <item x="0"/>
        <item x="1"/>
        <item x="2"/>
        <item t="default"/>
      </items>
    </pivotField>
    <pivotField name="Unavailable" compact="0" outline="0" multipleItemSelectionAllowed="1" showAll="0">
      <items>
        <item x="0"/>
        <item x="1"/>
        <item x="2"/>
        <item t="default"/>
      </items>
    </pivotField>
    <pivotField name="Availability_Pct" compact="0" numFmtId="10" outline="0" multipleItemSelectionAllowed="1" showAll="0">
      <items>
        <item x="0"/>
        <item x="1"/>
        <item x="2"/>
        <item t="default"/>
      </items>
    </pivotField>
    <pivotField name="Stockout" compact="0" numFmtId="9" outline="0" multipleItemSelectionAllowed="1" showAll="0">
      <items>
        <item x="0"/>
        <item x="1"/>
        <item x="2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Rain" compact="0" outline="0" multipleItemSelectionAllowed="1" showAll="0">
      <items>
        <item x="0"/>
        <item x="1"/>
        <item t="default"/>
      </items>
    </pivotField>
    <pivotField name="Peak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SUM of Surge Pricing Flag" fld="9" baseField="0"/>
  </dataFields>
</pivotTableDefinition>
</file>

<file path=xl/pivotTables/pivotTable3.xml><?xml version="1.0" encoding="utf-8"?>
<pivotTableDefinition xmlns="http://schemas.openxmlformats.org/spreadsheetml/2006/main" name="Pivots 3" cacheId="0" dataCaption="" compact="0" compactData="0">
  <location ref="M3:N7" firstHeaderRow="0" firstDataRow="1" firstDataCol="0" rowPageCount="1" colPageCount="1"/>
  <pivotFields>
    <pivotField name="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ate" compact="0" numFmtId="164" outline="0" multipleItemSelectionAllowed="1" showAll="0">
      <items>
        <item x="0"/>
        <item x="1"/>
        <item t="default"/>
      </items>
    </pivotField>
    <pivotField name="Time" axis="axisPage" compact="0" numFmtId="49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x="22"/>
        <item x="23"/>
        <item h="1" x="24"/>
        <item h="1" x="25"/>
        <item h="1" x="26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Locality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ETA_m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TA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LA Compliance Status" compact="0" outline="0" multipleItemSelectionAllowed="1" showAll="0">
      <items>
        <item x="0"/>
        <item x="1"/>
        <item x="2"/>
        <item x="3"/>
        <item t="default"/>
      </items>
    </pivotField>
    <pivotField name="Unserviceable Flag" dataField="1" compact="0" outline="0" multipleItemSelectionAllowed="1" showAll="0">
      <items>
        <item x="0"/>
        <item x="1"/>
        <item x="2"/>
        <item t="default"/>
      </items>
    </pivotField>
    <pivotField name="Surge Pricing Flag" compact="0" outline="0" multipleItemSelectionAllowed="1" showAll="0">
      <items>
        <item x="0"/>
        <item x="1"/>
        <item x="2"/>
        <item t="default"/>
      </items>
    </pivotField>
    <pivotField name="Basket Items" compact="0" outline="0" multipleItemSelectionAllowed="1" showAll="0">
      <items>
        <item x="0"/>
        <item x="1"/>
        <item t="default"/>
      </items>
    </pivotField>
    <pivotField name="Basket ₹" compact="0" outline="0" multipleItemSelectionAllowed="1" showAll="0">
      <items>
        <item x="0"/>
        <item x="1"/>
        <item x="2"/>
        <item t="default"/>
      </items>
    </pivotField>
    <pivotField name="Available Items" compact="0" outline="0" multipleItemSelectionAllowed="1" showAll="0">
      <items>
        <item x="0"/>
        <item x="1"/>
        <item x="2"/>
        <item t="default"/>
      </items>
    </pivotField>
    <pivotField name="Unavailable" compact="0" outline="0" multipleItemSelectionAllowed="1" showAll="0">
      <items>
        <item x="0"/>
        <item x="1"/>
        <item x="2"/>
        <item t="default"/>
      </items>
    </pivotField>
    <pivotField name="Availability_Pct" compact="0" numFmtId="10" outline="0" multipleItemSelectionAllowed="1" showAll="0">
      <items>
        <item x="0"/>
        <item x="1"/>
        <item x="2"/>
        <item t="default"/>
      </items>
    </pivotField>
    <pivotField name="Stockout" compact="0" numFmtId="9" outline="0" multipleItemSelectionAllowed="1" showAll="0">
      <items>
        <item x="0"/>
        <item x="1"/>
        <item x="2"/>
        <item t="default"/>
      </items>
    </pivotField>
    <pivotField name="Weather" compact="0" outline="0" multipleItemSelectionAllowed="1" showAll="0">
      <items>
        <item x="0"/>
        <item x="1"/>
        <item t="default"/>
      </items>
    </pivotField>
    <pivotField name="Rain" compact="0" outline="0" multipleItemSelectionAllowed="1" showAll="0">
      <items>
        <item x="0"/>
        <item x="1"/>
        <item t="default"/>
      </items>
    </pivotField>
    <pivotField name="Peak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pageFields>
    <pageField fld="2"/>
  </pageFields>
  <dataFields>
    <dataField name="AVERAGE of Unserviceable Flag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5" max="5" width="2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19</v>
      </c>
      <c r="P1" s="2" t="s">
        <v>20</v>
      </c>
    </row>
    <row r="2">
      <c r="A2" s="2" t="s">
        <v>21</v>
      </c>
      <c r="B2" s="3">
        <v>46282.0</v>
      </c>
      <c r="C2" s="5">
        <v>0.41805555555555557</v>
      </c>
      <c r="D2" s="2" t="s">
        <v>23</v>
      </c>
      <c r="E2" s="2" t="s">
        <v>24</v>
      </c>
      <c r="F2" s="2">
        <v>21.0</v>
      </c>
      <c r="G2" s="2">
        <v>11.0</v>
      </c>
      <c r="H2" s="2" t="s">
        <v>25</v>
      </c>
      <c r="I2" s="2">
        <v>11.0</v>
      </c>
      <c r="J2" s="2">
        <v>0.0</v>
      </c>
      <c r="K2" s="6">
        <v>1.0</v>
      </c>
      <c r="L2" s="6">
        <v>0.0</v>
      </c>
      <c r="M2" s="2" t="s">
        <v>26</v>
      </c>
      <c r="N2" s="2" t="s">
        <v>27</v>
      </c>
      <c r="O2" s="2" t="s">
        <v>27</v>
      </c>
      <c r="P2" s="2" t="s">
        <v>28</v>
      </c>
    </row>
    <row r="3">
      <c r="A3" s="2" t="s">
        <v>29</v>
      </c>
      <c r="B3" s="3">
        <v>46282.0</v>
      </c>
      <c r="C3" s="5">
        <v>0.41805555555555557</v>
      </c>
      <c r="D3" s="2" t="s">
        <v>23</v>
      </c>
      <c r="E3" s="2" t="s">
        <v>31</v>
      </c>
      <c r="F3" s="2">
        <v>8.0</v>
      </c>
      <c r="G3" s="2">
        <v>11.0</v>
      </c>
      <c r="H3" s="2" t="s">
        <v>32</v>
      </c>
      <c r="I3" s="2">
        <v>11.0</v>
      </c>
      <c r="J3" s="2">
        <v>0.0</v>
      </c>
      <c r="K3" s="6">
        <v>1.0</v>
      </c>
      <c r="L3" s="6">
        <v>0.0</v>
      </c>
      <c r="M3" s="2" t="s">
        <v>26</v>
      </c>
      <c r="N3" s="2" t="s">
        <v>27</v>
      </c>
      <c r="O3" s="2" t="s">
        <v>27</v>
      </c>
      <c r="P3" s="2" t="s">
        <v>28</v>
      </c>
    </row>
    <row r="4">
      <c r="A4" s="2" t="s">
        <v>33</v>
      </c>
      <c r="B4" s="3">
        <v>46282.0</v>
      </c>
      <c r="C4" s="5">
        <v>0.41805555555555557</v>
      </c>
      <c r="D4" s="2" t="s">
        <v>23</v>
      </c>
      <c r="E4" s="2" t="s">
        <v>35</v>
      </c>
      <c r="F4" s="2">
        <v>18.0</v>
      </c>
      <c r="G4" s="2">
        <v>11.0</v>
      </c>
      <c r="H4" s="2" t="s">
        <v>25</v>
      </c>
      <c r="I4" s="2">
        <v>11.0</v>
      </c>
      <c r="J4" s="2">
        <v>0.0</v>
      </c>
      <c r="K4" s="6">
        <v>1.0</v>
      </c>
      <c r="L4" s="6">
        <v>0.0</v>
      </c>
      <c r="M4" s="2" t="s">
        <v>26</v>
      </c>
      <c r="N4" s="2" t="s">
        <v>27</v>
      </c>
      <c r="O4" s="2" t="s">
        <v>27</v>
      </c>
      <c r="P4" s="2" t="s">
        <v>28</v>
      </c>
    </row>
    <row r="5">
      <c r="A5" s="2" t="s">
        <v>36</v>
      </c>
      <c r="B5" s="3">
        <v>46282.0</v>
      </c>
      <c r="C5" s="5">
        <v>0.4409722222222222</v>
      </c>
      <c r="D5" s="2" t="s">
        <v>23</v>
      </c>
      <c r="E5" s="2" t="s">
        <v>24</v>
      </c>
      <c r="F5" s="2">
        <v>11.0</v>
      </c>
      <c r="G5" s="2">
        <v>11.0</v>
      </c>
      <c r="H5" s="2" t="s">
        <v>25</v>
      </c>
      <c r="I5" s="2">
        <v>11.0</v>
      </c>
      <c r="J5" s="2">
        <v>0.0</v>
      </c>
      <c r="K5" s="6">
        <v>1.0</v>
      </c>
      <c r="L5" s="6">
        <v>0.0</v>
      </c>
      <c r="M5" s="2" t="s">
        <v>26</v>
      </c>
      <c r="N5" s="2" t="s">
        <v>27</v>
      </c>
      <c r="O5" s="2" t="s">
        <v>27</v>
      </c>
      <c r="P5" s="2" t="s">
        <v>28</v>
      </c>
    </row>
    <row r="6">
      <c r="A6" s="2" t="s">
        <v>37</v>
      </c>
      <c r="B6" s="3">
        <v>46282.0</v>
      </c>
      <c r="C6" s="5">
        <v>0.4409722222222222</v>
      </c>
      <c r="D6" s="2" t="s">
        <v>23</v>
      </c>
      <c r="E6" s="2" t="s">
        <v>31</v>
      </c>
      <c r="F6" s="2">
        <v>8.0</v>
      </c>
      <c r="G6" s="2">
        <v>11.0</v>
      </c>
      <c r="H6" s="2" t="s">
        <v>32</v>
      </c>
      <c r="I6" s="2">
        <v>11.0</v>
      </c>
      <c r="J6" s="2">
        <v>0.0</v>
      </c>
      <c r="K6" s="6">
        <v>1.0</v>
      </c>
      <c r="L6" s="6">
        <v>0.0</v>
      </c>
      <c r="M6" s="2" t="s">
        <v>26</v>
      </c>
      <c r="N6" s="2" t="s">
        <v>27</v>
      </c>
      <c r="O6" s="2" t="s">
        <v>27</v>
      </c>
      <c r="P6" s="2" t="s">
        <v>28</v>
      </c>
    </row>
    <row r="7">
      <c r="A7" s="2" t="s">
        <v>38</v>
      </c>
      <c r="B7" s="3">
        <v>46282.0</v>
      </c>
      <c r="C7" s="5">
        <v>0.4409722222222222</v>
      </c>
      <c r="D7" s="2" t="s">
        <v>23</v>
      </c>
      <c r="E7" s="2" t="s">
        <v>35</v>
      </c>
      <c r="F7" s="2">
        <v>12.0</v>
      </c>
      <c r="G7" s="2">
        <v>11.0</v>
      </c>
      <c r="H7" s="2" t="s">
        <v>25</v>
      </c>
      <c r="I7" s="2">
        <v>11.0</v>
      </c>
      <c r="J7" s="2">
        <v>0.0</v>
      </c>
      <c r="K7" s="6">
        <v>1.0</v>
      </c>
      <c r="L7" s="6">
        <v>0.0</v>
      </c>
      <c r="M7" s="2" t="s">
        <v>26</v>
      </c>
      <c r="N7" s="2" t="s">
        <v>27</v>
      </c>
      <c r="O7" s="2" t="s">
        <v>27</v>
      </c>
      <c r="P7" s="2" t="s">
        <v>28</v>
      </c>
    </row>
    <row r="8">
      <c r="A8" s="2" t="s">
        <v>39</v>
      </c>
      <c r="B8" s="3">
        <v>46282.0</v>
      </c>
      <c r="C8" s="5">
        <v>0.46111111111111114</v>
      </c>
      <c r="D8" s="2" t="s">
        <v>23</v>
      </c>
      <c r="E8" s="2" t="s">
        <v>24</v>
      </c>
      <c r="F8" s="2">
        <v>11.0</v>
      </c>
      <c r="G8" s="2">
        <v>11.0</v>
      </c>
      <c r="H8" s="2" t="s">
        <v>25</v>
      </c>
      <c r="I8" s="2">
        <v>11.0</v>
      </c>
      <c r="J8" s="2">
        <v>0.0</v>
      </c>
      <c r="K8" s="6">
        <v>1.0</v>
      </c>
      <c r="L8" s="6">
        <v>0.0</v>
      </c>
      <c r="M8" s="2" t="s">
        <v>26</v>
      </c>
      <c r="N8" s="2" t="s">
        <v>27</v>
      </c>
      <c r="O8" s="2" t="s">
        <v>27</v>
      </c>
      <c r="P8" s="2" t="s">
        <v>28</v>
      </c>
    </row>
    <row r="9">
      <c r="A9" s="2" t="s">
        <v>40</v>
      </c>
      <c r="B9" s="3">
        <v>46282.0</v>
      </c>
      <c r="C9" s="5">
        <v>0.46111111111111114</v>
      </c>
      <c r="D9" s="2" t="s">
        <v>23</v>
      </c>
      <c r="E9" s="2" t="s">
        <v>31</v>
      </c>
      <c r="F9" s="2">
        <v>8.0</v>
      </c>
      <c r="G9" s="2">
        <v>11.0</v>
      </c>
      <c r="H9" s="2" t="s">
        <v>32</v>
      </c>
      <c r="I9" s="2">
        <v>11.0</v>
      </c>
      <c r="J9" s="2">
        <v>0.0</v>
      </c>
      <c r="K9" s="6">
        <v>1.0</v>
      </c>
      <c r="L9" s="6">
        <v>0.0</v>
      </c>
      <c r="M9" s="2" t="s">
        <v>26</v>
      </c>
      <c r="N9" s="2" t="s">
        <v>27</v>
      </c>
      <c r="O9" s="2" t="s">
        <v>27</v>
      </c>
      <c r="P9" s="2" t="s">
        <v>28</v>
      </c>
    </row>
    <row r="10">
      <c r="A10" s="2" t="s">
        <v>41</v>
      </c>
      <c r="B10" s="3">
        <v>46282.0</v>
      </c>
      <c r="C10" s="5">
        <v>0.46111111111111114</v>
      </c>
      <c r="D10" s="2" t="s">
        <v>23</v>
      </c>
      <c r="E10" s="2" t="s">
        <v>35</v>
      </c>
      <c r="F10" s="2">
        <v>11.0</v>
      </c>
      <c r="G10" s="2">
        <v>11.0</v>
      </c>
      <c r="H10" s="2" t="s">
        <v>25</v>
      </c>
      <c r="I10" s="2">
        <v>11.0</v>
      </c>
      <c r="J10" s="2">
        <v>0.0</v>
      </c>
      <c r="K10" s="6">
        <v>1.0</v>
      </c>
      <c r="L10" s="6">
        <v>0.0</v>
      </c>
      <c r="M10" s="2" t="s">
        <v>26</v>
      </c>
      <c r="N10" s="2" t="s">
        <v>27</v>
      </c>
      <c r="O10" s="2" t="s">
        <v>27</v>
      </c>
      <c r="P10" s="2" t="s">
        <v>28</v>
      </c>
    </row>
    <row r="11">
      <c r="A11" s="2" t="s">
        <v>42</v>
      </c>
      <c r="B11" s="3">
        <v>46282.0</v>
      </c>
      <c r="C11" s="5">
        <v>0.4875</v>
      </c>
      <c r="D11" s="2" t="s">
        <v>23</v>
      </c>
      <c r="E11" s="2" t="s">
        <v>24</v>
      </c>
      <c r="F11" s="2">
        <v>14.0</v>
      </c>
      <c r="G11" s="2">
        <v>11.0</v>
      </c>
      <c r="H11" s="2" t="s">
        <v>25</v>
      </c>
      <c r="I11" s="2">
        <v>11.0</v>
      </c>
      <c r="J11" s="2">
        <v>0.0</v>
      </c>
      <c r="K11" s="6">
        <v>1.0</v>
      </c>
      <c r="L11" s="6">
        <v>0.0</v>
      </c>
      <c r="M11" s="2" t="s">
        <v>26</v>
      </c>
      <c r="N11" s="2" t="s">
        <v>27</v>
      </c>
      <c r="O11" s="2" t="s">
        <v>27</v>
      </c>
      <c r="P11" s="2" t="s">
        <v>28</v>
      </c>
    </row>
    <row r="12">
      <c r="A12" s="2" t="s">
        <v>43</v>
      </c>
      <c r="B12" s="3">
        <v>46282.0</v>
      </c>
      <c r="C12" s="5">
        <v>0.4875</v>
      </c>
      <c r="D12" s="2" t="s">
        <v>23</v>
      </c>
      <c r="E12" s="2" t="s">
        <v>31</v>
      </c>
      <c r="F12" s="2">
        <v>8.0</v>
      </c>
      <c r="G12" s="2">
        <v>11.0</v>
      </c>
      <c r="H12" s="2" t="s">
        <v>32</v>
      </c>
      <c r="I12" s="2">
        <v>11.0</v>
      </c>
      <c r="J12" s="2">
        <v>0.0</v>
      </c>
      <c r="K12" s="6">
        <v>1.0</v>
      </c>
      <c r="L12" s="6">
        <v>0.0</v>
      </c>
      <c r="M12" s="2" t="s">
        <v>26</v>
      </c>
      <c r="N12" s="2" t="s">
        <v>27</v>
      </c>
      <c r="O12" s="2" t="s">
        <v>27</v>
      </c>
      <c r="P12" s="2" t="s">
        <v>28</v>
      </c>
    </row>
    <row r="13">
      <c r="A13" s="2" t="s">
        <v>44</v>
      </c>
      <c r="B13" s="3">
        <v>46282.0</v>
      </c>
      <c r="C13" s="5">
        <v>0.4875</v>
      </c>
      <c r="D13" s="2" t="s">
        <v>23</v>
      </c>
      <c r="E13" s="2" t="s">
        <v>35</v>
      </c>
      <c r="F13" s="2">
        <v>11.0</v>
      </c>
      <c r="G13" s="2">
        <v>11.0</v>
      </c>
      <c r="H13" s="2" t="s">
        <v>25</v>
      </c>
      <c r="I13" s="2">
        <v>11.0</v>
      </c>
      <c r="J13" s="2">
        <v>0.0</v>
      </c>
      <c r="K13" s="6">
        <v>1.0</v>
      </c>
      <c r="L13" s="6">
        <v>0.0</v>
      </c>
      <c r="M13" s="2" t="s">
        <v>26</v>
      </c>
      <c r="N13" s="2" t="s">
        <v>27</v>
      </c>
      <c r="O13" s="2" t="s">
        <v>27</v>
      </c>
      <c r="P13" s="2" t="s">
        <v>28</v>
      </c>
    </row>
    <row r="14">
      <c r="A14" s="2" t="s">
        <v>45</v>
      </c>
      <c r="B14" s="3">
        <v>46282.0</v>
      </c>
      <c r="C14" s="5">
        <v>0.5013888888888889</v>
      </c>
      <c r="D14" s="2" t="s">
        <v>23</v>
      </c>
      <c r="E14" s="2" t="s">
        <v>24</v>
      </c>
      <c r="F14" s="2">
        <v>15.0</v>
      </c>
      <c r="G14" s="2">
        <v>11.0</v>
      </c>
      <c r="H14" s="2" t="s">
        <v>25</v>
      </c>
      <c r="I14" s="2">
        <v>11.0</v>
      </c>
      <c r="J14" s="2">
        <v>0.0</v>
      </c>
      <c r="K14" s="6">
        <v>1.0</v>
      </c>
      <c r="L14" s="6">
        <v>0.0</v>
      </c>
      <c r="M14" s="2" t="s">
        <v>26</v>
      </c>
      <c r="N14" s="2" t="s">
        <v>27</v>
      </c>
      <c r="O14" s="2" t="s">
        <v>27</v>
      </c>
      <c r="P14" s="2" t="s">
        <v>28</v>
      </c>
    </row>
    <row r="15">
      <c r="A15" s="2" t="s">
        <v>46</v>
      </c>
      <c r="B15" s="3">
        <v>46282.0</v>
      </c>
      <c r="C15" s="5">
        <v>0.5013888888888889</v>
      </c>
      <c r="D15" s="2" t="s">
        <v>23</v>
      </c>
      <c r="E15" s="2" t="s">
        <v>31</v>
      </c>
      <c r="F15" s="2">
        <v>8.0</v>
      </c>
      <c r="G15" s="2">
        <v>11.0</v>
      </c>
      <c r="H15" s="2" t="s">
        <v>32</v>
      </c>
      <c r="I15" s="2">
        <v>11.0</v>
      </c>
      <c r="J15" s="2">
        <v>0.0</v>
      </c>
      <c r="K15" s="6">
        <v>1.0</v>
      </c>
      <c r="L15" s="6">
        <v>0.0</v>
      </c>
      <c r="M15" s="2" t="s">
        <v>26</v>
      </c>
      <c r="N15" s="2" t="s">
        <v>27</v>
      </c>
      <c r="O15" s="2" t="s">
        <v>27</v>
      </c>
      <c r="P15" s="2" t="s">
        <v>28</v>
      </c>
    </row>
    <row r="16">
      <c r="A16" s="2" t="s">
        <v>47</v>
      </c>
      <c r="B16" s="3">
        <v>46282.0</v>
      </c>
      <c r="C16" s="5">
        <v>0.5013888888888889</v>
      </c>
      <c r="D16" s="2" t="s">
        <v>23</v>
      </c>
      <c r="E16" s="2" t="s">
        <v>35</v>
      </c>
      <c r="F16" s="2">
        <v>16.0</v>
      </c>
      <c r="G16" s="2">
        <v>11.0</v>
      </c>
      <c r="H16" s="2" t="s">
        <v>25</v>
      </c>
      <c r="I16" s="2">
        <v>11.0</v>
      </c>
      <c r="J16" s="2">
        <v>0.0</v>
      </c>
      <c r="K16" s="6">
        <v>1.0</v>
      </c>
      <c r="L16" s="6">
        <v>0.0</v>
      </c>
      <c r="M16" s="2" t="s">
        <v>26</v>
      </c>
      <c r="N16" s="2" t="s">
        <v>27</v>
      </c>
      <c r="O16" s="2" t="s">
        <v>27</v>
      </c>
      <c r="P16" s="2" t="s">
        <v>28</v>
      </c>
    </row>
    <row r="17">
      <c r="A17" s="2" t="s">
        <v>48</v>
      </c>
      <c r="B17" s="3">
        <v>46282.0</v>
      </c>
      <c r="C17" s="5">
        <v>0.5236111111111111</v>
      </c>
      <c r="D17" s="2" t="s">
        <v>23</v>
      </c>
      <c r="E17" s="2" t="s">
        <v>24</v>
      </c>
      <c r="F17" s="2">
        <v>18.0</v>
      </c>
      <c r="G17" s="2">
        <v>11.0</v>
      </c>
      <c r="H17" s="2" t="s">
        <v>25</v>
      </c>
      <c r="I17" s="2">
        <v>11.0</v>
      </c>
      <c r="J17" s="2">
        <v>0.0</v>
      </c>
      <c r="K17" s="6">
        <v>1.0</v>
      </c>
      <c r="L17" s="6">
        <v>0.0</v>
      </c>
      <c r="M17" s="2" t="s">
        <v>26</v>
      </c>
      <c r="N17" s="2" t="s">
        <v>27</v>
      </c>
      <c r="O17" s="2" t="s">
        <v>27</v>
      </c>
      <c r="P17" s="2" t="s">
        <v>28</v>
      </c>
    </row>
    <row r="18">
      <c r="A18" s="2" t="s">
        <v>49</v>
      </c>
      <c r="B18" s="3">
        <v>46282.0</v>
      </c>
      <c r="C18" s="5">
        <v>0.5236111111111111</v>
      </c>
      <c r="D18" s="2" t="s">
        <v>23</v>
      </c>
      <c r="E18" s="2" t="s">
        <v>31</v>
      </c>
      <c r="F18" s="2">
        <v>10.0</v>
      </c>
      <c r="G18" s="2">
        <v>11.0</v>
      </c>
      <c r="H18" s="2" t="s">
        <v>32</v>
      </c>
      <c r="I18" s="2">
        <v>11.0</v>
      </c>
      <c r="J18" s="2">
        <v>0.0</v>
      </c>
      <c r="K18" s="6">
        <v>1.0</v>
      </c>
      <c r="L18" s="6">
        <v>0.0</v>
      </c>
      <c r="M18" s="2" t="s">
        <v>26</v>
      </c>
      <c r="N18" s="2" t="s">
        <v>27</v>
      </c>
      <c r="O18" s="2" t="s">
        <v>27</v>
      </c>
      <c r="P18" s="2" t="s">
        <v>28</v>
      </c>
    </row>
    <row r="19">
      <c r="A19" s="2" t="s">
        <v>50</v>
      </c>
      <c r="B19" s="3">
        <v>46282.0</v>
      </c>
      <c r="C19" s="5">
        <v>0.5236111111111111</v>
      </c>
      <c r="D19" s="2" t="s">
        <v>23</v>
      </c>
      <c r="E19" s="2" t="s">
        <v>35</v>
      </c>
      <c r="F19" s="2">
        <v>16.0</v>
      </c>
      <c r="G19" s="2">
        <v>11.0</v>
      </c>
      <c r="H19" s="2" t="s">
        <v>25</v>
      </c>
      <c r="I19" s="2">
        <v>11.0</v>
      </c>
      <c r="J19" s="2">
        <v>0.0</v>
      </c>
      <c r="K19" s="6">
        <v>1.0</v>
      </c>
      <c r="L19" s="6">
        <v>0.0</v>
      </c>
      <c r="M19" s="2" t="s">
        <v>26</v>
      </c>
      <c r="N19" s="2" t="s">
        <v>27</v>
      </c>
      <c r="O19" s="2" t="s">
        <v>27</v>
      </c>
      <c r="P19" s="2" t="s">
        <v>28</v>
      </c>
    </row>
    <row r="20">
      <c r="A20" s="2" t="s">
        <v>51</v>
      </c>
      <c r="B20" s="3">
        <v>46282.0</v>
      </c>
      <c r="C20" s="5">
        <v>0.5458333333333333</v>
      </c>
      <c r="D20" s="2" t="s">
        <v>23</v>
      </c>
      <c r="E20" s="2" t="s">
        <v>24</v>
      </c>
      <c r="F20" s="2">
        <v>17.0</v>
      </c>
      <c r="G20" s="2">
        <v>11.0</v>
      </c>
      <c r="H20" s="2" t="s">
        <v>25</v>
      </c>
      <c r="I20" s="2">
        <v>11.0</v>
      </c>
      <c r="J20" s="2">
        <v>0.0</v>
      </c>
      <c r="K20" s="6">
        <v>1.0</v>
      </c>
      <c r="L20" s="6">
        <v>0.0</v>
      </c>
      <c r="M20" s="2" t="s">
        <v>26</v>
      </c>
      <c r="N20" s="2" t="s">
        <v>27</v>
      </c>
      <c r="O20" s="2" t="s">
        <v>27</v>
      </c>
      <c r="P20" s="2" t="s">
        <v>28</v>
      </c>
    </row>
    <row r="21">
      <c r="A21" s="2" t="s">
        <v>52</v>
      </c>
      <c r="B21" s="3">
        <v>46282.0</v>
      </c>
      <c r="C21" s="5">
        <v>0.5458333333333333</v>
      </c>
      <c r="D21" s="2" t="s">
        <v>23</v>
      </c>
      <c r="E21" s="2" t="s">
        <v>31</v>
      </c>
      <c r="F21" s="2">
        <v>8.0</v>
      </c>
      <c r="G21" s="2">
        <v>11.0</v>
      </c>
      <c r="H21" s="2" t="s">
        <v>32</v>
      </c>
      <c r="I21" s="2">
        <v>11.0</v>
      </c>
      <c r="J21" s="2">
        <v>0.0</v>
      </c>
      <c r="K21" s="6">
        <v>1.0</v>
      </c>
      <c r="L21" s="6">
        <v>0.0</v>
      </c>
      <c r="M21" s="2" t="s">
        <v>26</v>
      </c>
      <c r="N21" s="2" t="s">
        <v>27</v>
      </c>
      <c r="O21" s="2" t="s">
        <v>27</v>
      </c>
      <c r="P21" s="2" t="s">
        <v>28</v>
      </c>
    </row>
    <row r="22">
      <c r="A22" s="2" t="s">
        <v>53</v>
      </c>
      <c r="B22" s="3">
        <v>46282.0</v>
      </c>
      <c r="C22" s="5">
        <v>0.5458333333333333</v>
      </c>
      <c r="D22" s="2" t="s">
        <v>23</v>
      </c>
      <c r="E22" s="2" t="s">
        <v>35</v>
      </c>
      <c r="F22" s="2">
        <v>23.0</v>
      </c>
      <c r="G22" s="2">
        <v>11.0</v>
      </c>
      <c r="H22" s="2" t="s">
        <v>25</v>
      </c>
      <c r="I22" s="2">
        <v>11.0</v>
      </c>
      <c r="J22" s="2">
        <v>0.0</v>
      </c>
      <c r="K22" s="6">
        <v>1.0</v>
      </c>
      <c r="L22" s="6">
        <v>0.0</v>
      </c>
      <c r="M22" s="2" t="s">
        <v>26</v>
      </c>
      <c r="N22" s="2" t="s">
        <v>27</v>
      </c>
      <c r="O22" s="2" t="s">
        <v>27</v>
      </c>
      <c r="P22" s="2" t="s">
        <v>28</v>
      </c>
    </row>
    <row r="23">
      <c r="A23" s="2" t="s">
        <v>54</v>
      </c>
      <c r="B23" s="3">
        <v>46282.0</v>
      </c>
      <c r="C23" s="5">
        <v>0.5652777777777778</v>
      </c>
      <c r="D23" s="2" t="s">
        <v>23</v>
      </c>
      <c r="E23" s="2" t="s">
        <v>24</v>
      </c>
      <c r="F23" s="2">
        <v>22.0</v>
      </c>
      <c r="G23" s="2">
        <v>11.0</v>
      </c>
      <c r="H23" s="2" t="s">
        <v>25</v>
      </c>
      <c r="I23" s="2">
        <v>11.0</v>
      </c>
      <c r="J23" s="2">
        <v>0.0</v>
      </c>
      <c r="K23" s="6">
        <v>1.0</v>
      </c>
      <c r="L23" s="6">
        <v>0.0</v>
      </c>
      <c r="M23" s="2" t="s">
        <v>26</v>
      </c>
      <c r="N23" s="2" t="s">
        <v>27</v>
      </c>
      <c r="O23" s="2" t="s">
        <v>27</v>
      </c>
      <c r="P23" s="2" t="s">
        <v>28</v>
      </c>
    </row>
    <row r="24">
      <c r="A24" s="2" t="s">
        <v>55</v>
      </c>
      <c r="B24" s="3">
        <v>46282.0</v>
      </c>
      <c r="C24" s="5">
        <v>0.5652777777777778</v>
      </c>
      <c r="D24" s="2" t="s">
        <v>23</v>
      </c>
      <c r="E24" s="2" t="s">
        <v>31</v>
      </c>
      <c r="F24" s="2">
        <v>8.0</v>
      </c>
      <c r="G24" s="2">
        <v>11.0</v>
      </c>
      <c r="H24" s="2" t="s">
        <v>32</v>
      </c>
      <c r="I24" s="2">
        <v>11.0</v>
      </c>
      <c r="J24" s="2">
        <v>0.0</v>
      </c>
      <c r="K24" s="6">
        <v>1.0</v>
      </c>
      <c r="L24" s="6">
        <v>0.0</v>
      </c>
      <c r="M24" s="2" t="s">
        <v>26</v>
      </c>
      <c r="N24" s="2" t="s">
        <v>27</v>
      </c>
      <c r="O24" s="2" t="s">
        <v>27</v>
      </c>
      <c r="P24" s="2" t="s">
        <v>28</v>
      </c>
    </row>
    <row r="25">
      <c r="A25" s="2" t="s">
        <v>56</v>
      </c>
      <c r="B25" s="3">
        <v>46282.0</v>
      </c>
      <c r="C25" s="5">
        <v>0.5652777777777778</v>
      </c>
      <c r="D25" s="2" t="s">
        <v>23</v>
      </c>
      <c r="E25" s="2" t="s">
        <v>35</v>
      </c>
      <c r="F25" s="2">
        <v>20.0</v>
      </c>
      <c r="G25" s="2">
        <v>11.0</v>
      </c>
      <c r="H25" s="2" t="s">
        <v>25</v>
      </c>
      <c r="I25" s="2">
        <v>11.0</v>
      </c>
      <c r="J25" s="2">
        <v>0.0</v>
      </c>
      <c r="K25" s="6">
        <v>1.0</v>
      </c>
      <c r="L25" s="6">
        <v>0.0</v>
      </c>
      <c r="M25" s="2" t="s">
        <v>26</v>
      </c>
      <c r="N25" s="2" t="s">
        <v>27</v>
      </c>
      <c r="O25" s="2" t="s">
        <v>27</v>
      </c>
      <c r="P25" s="2" t="s">
        <v>28</v>
      </c>
    </row>
    <row r="26">
      <c r="A26" s="2" t="s">
        <v>57</v>
      </c>
      <c r="B26" s="3">
        <v>46282.0</v>
      </c>
      <c r="C26" s="5">
        <v>0.5868055555555556</v>
      </c>
      <c r="D26" s="2" t="s">
        <v>23</v>
      </c>
      <c r="E26" s="2" t="s">
        <v>24</v>
      </c>
      <c r="F26" s="2">
        <v>22.0</v>
      </c>
      <c r="G26" s="2">
        <v>11.0</v>
      </c>
      <c r="H26" s="2" t="s">
        <v>25</v>
      </c>
      <c r="I26" s="2">
        <v>11.0</v>
      </c>
      <c r="J26" s="2">
        <v>0.0</v>
      </c>
      <c r="K26" s="6">
        <v>1.0</v>
      </c>
      <c r="L26" s="6">
        <v>0.0</v>
      </c>
      <c r="M26" s="2" t="s">
        <v>26</v>
      </c>
      <c r="N26" s="2" t="s">
        <v>27</v>
      </c>
      <c r="O26" s="2" t="s">
        <v>27</v>
      </c>
      <c r="P26" s="2" t="s">
        <v>28</v>
      </c>
    </row>
    <row r="27">
      <c r="A27" s="2" t="s">
        <v>58</v>
      </c>
      <c r="B27" s="3">
        <v>46282.0</v>
      </c>
      <c r="C27" s="5">
        <v>0.5868055555555556</v>
      </c>
      <c r="D27" s="2" t="s">
        <v>23</v>
      </c>
      <c r="E27" s="2" t="s">
        <v>31</v>
      </c>
      <c r="F27" s="2">
        <v>12.0</v>
      </c>
      <c r="G27" s="2">
        <v>11.0</v>
      </c>
      <c r="H27" s="2" t="s">
        <v>32</v>
      </c>
      <c r="I27" s="2">
        <v>11.0</v>
      </c>
      <c r="J27" s="2">
        <v>0.0</v>
      </c>
      <c r="K27" s="6">
        <v>1.0</v>
      </c>
      <c r="L27" s="6">
        <v>0.0</v>
      </c>
      <c r="M27" s="2" t="s">
        <v>26</v>
      </c>
      <c r="N27" s="2" t="s">
        <v>27</v>
      </c>
      <c r="O27" s="2" t="s">
        <v>27</v>
      </c>
      <c r="P27" s="2" t="s">
        <v>28</v>
      </c>
    </row>
    <row r="28">
      <c r="A28" s="2" t="s">
        <v>59</v>
      </c>
      <c r="B28" s="3">
        <v>46282.0</v>
      </c>
      <c r="C28" s="5">
        <v>0.5868055555555556</v>
      </c>
      <c r="D28" s="2" t="s">
        <v>23</v>
      </c>
      <c r="E28" s="2" t="s">
        <v>35</v>
      </c>
      <c r="F28" s="2">
        <v>20.0</v>
      </c>
      <c r="G28" s="2">
        <v>11.0</v>
      </c>
      <c r="H28" s="2" t="s">
        <v>25</v>
      </c>
      <c r="I28" s="2">
        <v>11.0</v>
      </c>
      <c r="J28" s="2">
        <v>0.0</v>
      </c>
      <c r="K28" s="6">
        <v>1.0</v>
      </c>
      <c r="L28" s="6">
        <v>0.0</v>
      </c>
      <c r="M28" s="2" t="s">
        <v>26</v>
      </c>
      <c r="N28" s="2" t="s">
        <v>27</v>
      </c>
      <c r="O28" s="2" t="s">
        <v>27</v>
      </c>
      <c r="P28" s="2" t="s">
        <v>28</v>
      </c>
    </row>
    <row r="29">
      <c r="A29" s="2" t="s">
        <v>60</v>
      </c>
      <c r="B29" s="3">
        <v>46282.0</v>
      </c>
      <c r="C29" s="5">
        <v>0.6069444444444444</v>
      </c>
      <c r="D29" s="2" t="s">
        <v>23</v>
      </c>
      <c r="E29" s="2" t="s">
        <v>24</v>
      </c>
      <c r="F29" s="2">
        <v>22.0</v>
      </c>
      <c r="G29" s="2">
        <v>11.0</v>
      </c>
      <c r="H29" s="2" t="s">
        <v>25</v>
      </c>
      <c r="I29" s="2">
        <v>11.0</v>
      </c>
      <c r="J29" s="2">
        <v>0.0</v>
      </c>
      <c r="K29" s="6">
        <v>1.0</v>
      </c>
      <c r="L29" s="6">
        <v>0.0</v>
      </c>
      <c r="M29" s="2" t="s">
        <v>26</v>
      </c>
      <c r="N29" s="2" t="s">
        <v>27</v>
      </c>
      <c r="O29" s="2" t="s">
        <v>27</v>
      </c>
      <c r="P29" s="2" t="s">
        <v>28</v>
      </c>
    </row>
    <row r="30">
      <c r="A30" s="2" t="s">
        <v>61</v>
      </c>
      <c r="B30" s="3">
        <v>46282.0</v>
      </c>
      <c r="C30" s="5">
        <v>0.6069444444444444</v>
      </c>
      <c r="D30" s="2" t="s">
        <v>23</v>
      </c>
      <c r="E30" s="2" t="s">
        <v>31</v>
      </c>
      <c r="F30" s="2">
        <v>10.0</v>
      </c>
      <c r="G30" s="2">
        <v>11.0</v>
      </c>
      <c r="H30" s="2" t="s">
        <v>32</v>
      </c>
      <c r="I30" s="2">
        <v>11.0</v>
      </c>
      <c r="J30" s="2">
        <v>0.0</v>
      </c>
      <c r="K30" s="6">
        <v>1.0</v>
      </c>
      <c r="L30" s="6">
        <v>0.0</v>
      </c>
      <c r="M30" s="2" t="s">
        <v>26</v>
      </c>
      <c r="N30" s="2" t="s">
        <v>27</v>
      </c>
      <c r="O30" s="2" t="s">
        <v>27</v>
      </c>
      <c r="P30" s="2" t="s">
        <v>28</v>
      </c>
    </row>
    <row r="31">
      <c r="A31" s="2" t="s">
        <v>62</v>
      </c>
      <c r="B31" s="3">
        <v>46282.0</v>
      </c>
      <c r="C31" s="5">
        <v>0.6069444444444444</v>
      </c>
      <c r="D31" s="2" t="s">
        <v>23</v>
      </c>
      <c r="E31" s="2" t="s">
        <v>35</v>
      </c>
      <c r="F31" s="2">
        <v>18.0</v>
      </c>
      <c r="G31" s="2">
        <v>11.0</v>
      </c>
      <c r="H31" s="2" t="s">
        <v>25</v>
      </c>
      <c r="I31" s="2">
        <v>11.0</v>
      </c>
      <c r="J31" s="2">
        <v>0.0</v>
      </c>
      <c r="K31" s="6">
        <v>1.0</v>
      </c>
      <c r="L31" s="6">
        <v>0.0</v>
      </c>
      <c r="M31" s="2" t="s">
        <v>26</v>
      </c>
      <c r="N31" s="2" t="s">
        <v>27</v>
      </c>
      <c r="O31" s="2" t="s">
        <v>27</v>
      </c>
      <c r="P31" s="2" t="s">
        <v>28</v>
      </c>
    </row>
    <row r="32">
      <c r="A32" s="2" t="s">
        <v>63</v>
      </c>
      <c r="B32" s="3">
        <v>46282.0</v>
      </c>
      <c r="C32" s="5">
        <v>0.625</v>
      </c>
      <c r="D32" s="2" t="s">
        <v>23</v>
      </c>
      <c r="E32" s="2" t="s">
        <v>24</v>
      </c>
      <c r="F32" s="2">
        <v>15.0</v>
      </c>
      <c r="G32" s="2">
        <v>11.0</v>
      </c>
      <c r="H32" s="2" t="s">
        <v>25</v>
      </c>
      <c r="I32" s="2">
        <v>11.0</v>
      </c>
      <c r="J32" s="2">
        <v>0.0</v>
      </c>
      <c r="K32" s="6">
        <v>1.0</v>
      </c>
      <c r="L32" s="6">
        <v>0.0</v>
      </c>
      <c r="M32" s="2" t="s">
        <v>26</v>
      </c>
      <c r="N32" s="2" t="s">
        <v>27</v>
      </c>
      <c r="O32" s="2" t="s">
        <v>27</v>
      </c>
      <c r="P32" s="2" t="s">
        <v>28</v>
      </c>
    </row>
    <row r="33">
      <c r="A33" s="2" t="s">
        <v>64</v>
      </c>
      <c r="B33" s="3">
        <v>46282.0</v>
      </c>
      <c r="C33" s="5">
        <v>0.625</v>
      </c>
      <c r="D33" s="2" t="s">
        <v>23</v>
      </c>
      <c r="E33" s="2" t="s">
        <v>31</v>
      </c>
      <c r="F33" s="2">
        <v>8.0</v>
      </c>
      <c r="G33" s="2">
        <v>11.0</v>
      </c>
      <c r="H33" s="2" t="s">
        <v>32</v>
      </c>
      <c r="I33" s="2">
        <v>11.0</v>
      </c>
      <c r="J33" s="2">
        <v>0.0</v>
      </c>
      <c r="K33" s="6">
        <v>1.0</v>
      </c>
      <c r="L33" s="6">
        <v>0.0</v>
      </c>
      <c r="M33" s="2" t="s">
        <v>26</v>
      </c>
      <c r="N33" s="2" t="s">
        <v>27</v>
      </c>
      <c r="O33" s="2" t="s">
        <v>27</v>
      </c>
      <c r="P33" s="2" t="s">
        <v>28</v>
      </c>
    </row>
    <row r="34">
      <c r="A34" s="2" t="s">
        <v>65</v>
      </c>
      <c r="B34" s="3">
        <v>46282.0</v>
      </c>
      <c r="C34" s="5">
        <v>0.625</v>
      </c>
      <c r="D34" s="2" t="s">
        <v>23</v>
      </c>
      <c r="E34" s="2" t="s">
        <v>35</v>
      </c>
      <c r="F34" s="2">
        <v>12.0</v>
      </c>
      <c r="G34" s="2">
        <v>11.0</v>
      </c>
      <c r="H34" s="2" t="s">
        <v>25</v>
      </c>
      <c r="I34" s="2">
        <v>11.0</v>
      </c>
      <c r="J34" s="2">
        <v>0.0</v>
      </c>
      <c r="K34" s="6">
        <v>1.0</v>
      </c>
      <c r="L34" s="6">
        <v>0.0</v>
      </c>
      <c r="M34" s="2" t="s">
        <v>26</v>
      </c>
      <c r="N34" s="2" t="s">
        <v>27</v>
      </c>
      <c r="O34" s="2" t="s">
        <v>27</v>
      </c>
      <c r="P34" s="2" t="s">
        <v>28</v>
      </c>
    </row>
    <row r="35">
      <c r="A35" s="2" t="s">
        <v>66</v>
      </c>
      <c r="B35" s="3">
        <v>46282.0</v>
      </c>
      <c r="C35" s="5">
        <v>0.6479166666666667</v>
      </c>
      <c r="D35" s="2" t="s">
        <v>23</v>
      </c>
      <c r="E35" s="2" t="s">
        <v>24</v>
      </c>
      <c r="F35" s="2">
        <v>14.0</v>
      </c>
      <c r="G35" s="2">
        <v>11.0</v>
      </c>
      <c r="H35" s="2" t="s">
        <v>25</v>
      </c>
      <c r="I35" s="2">
        <v>11.0</v>
      </c>
      <c r="J35" s="2">
        <v>0.0</v>
      </c>
      <c r="K35" s="6">
        <v>1.0</v>
      </c>
      <c r="L35" s="6">
        <v>0.0</v>
      </c>
      <c r="M35" s="2" t="s">
        <v>26</v>
      </c>
      <c r="N35" s="2" t="s">
        <v>27</v>
      </c>
      <c r="O35" s="2" t="s">
        <v>27</v>
      </c>
      <c r="P35" s="2" t="s">
        <v>28</v>
      </c>
    </row>
    <row r="36">
      <c r="A36" s="2" t="s">
        <v>68</v>
      </c>
      <c r="B36" s="3">
        <v>46282.0</v>
      </c>
      <c r="C36" s="5">
        <v>0.6479166666666667</v>
      </c>
      <c r="D36" s="2" t="s">
        <v>23</v>
      </c>
      <c r="E36" s="2" t="s">
        <v>31</v>
      </c>
      <c r="F36" s="2">
        <v>10.0</v>
      </c>
      <c r="G36" s="2">
        <v>11.0</v>
      </c>
      <c r="H36" s="2" t="s">
        <v>32</v>
      </c>
      <c r="I36" s="2">
        <v>11.0</v>
      </c>
      <c r="J36" s="2">
        <v>0.0</v>
      </c>
      <c r="K36" s="6">
        <v>1.0</v>
      </c>
      <c r="L36" s="6">
        <v>0.0</v>
      </c>
      <c r="M36" s="2" t="s">
        <v>26</v>
      </c>
      <c r="N36" s="2" t="s">
        <v>27</v>
      </c>
      <c r="O36" s="2" t="s">
        <v>27</v>
      </c>
      <c r="P36" s="2" t="s">
        <v>28</v>
      </c>
    </row>
    <row r="37">
      <c r="A37" s="2" t="s">
        <v>69</v>
      </c>
      <c r="B37" s="3">
        <v>46282.0</v>
      </c>
      <c r="C37" s="5">
        <v>0.6479166666666667</v>
      </c>
      <c r="D37" s="2" t="s">
        <v>23</v>
      </c>
      <c r="E37" s="2" t="s">
        <v>35</v>
      </c>
      <c r="F37" s="2">
        <v>13.0</v>
      </c>
      <c r="G37" s="2">
        <v>11.0</v>
      </c>
      <c r="H37" s="2" t="s">
        <v>25</v>
      </c>
      <c r="I37" s="2">
        <v>11.0</v>
      </c>
      <c r="J37" s="2">
        <v>0.0</v>
      </c>
      <c r="K37" s="6">
        <v>1.0</v>
      </c>
      <c r="L37" s="6">
        <v>0.0</v>
      </c>
      <c r="M37" s="2" t="s">
        <v>26</v>
      </c>
      <c r="N37" s="2" t="s">
        <v>27</v>
      </c>
      <c r="O37" s="2" t="s">
        <v>27</v>
      </c>
      <c r="P37" s="2" t="s">
        <v>28</v>
      </c>
    </row>
    <row r="38">
      <c r="A38" s="2" t="s">
        <v>70</v>
      </c>
      <c r="B38" s="3">
        <v>46282.0</v>
      </c>
      <c r="C38" s="5">
        <v>0.6701388888888888</v>
      </c>
      <c r="D38" s="2" t="s">
        <v>23</v>
      </c>
      <c r="E38" s="2" t="s">
        <v>24</v>
      </c>
      <c r="F38" s="2">
        <v>16.0</v>
      </c>
      <c r="G38" s="2">
        <v>11.0</v>
      </c>
      <c r="H38" s="2" t="s">
        <v>25</v>
      </c>
      <c r="I38" s="2">
        <v>11.0</v>
      </c>
      <c r="J38" s="2">
        <v>0.0</v>
      </c>
      <c r="K38" s="6">
        <v>1.0</v>
      </c>
      <c r="L38" s="6">
        <v>0.0</v>
      </c>
      <c r="M38" s="2" t="s">
        <v>26</v>
      </c>
      <c r="N38" s="2" t="s">
        <v>27</v>
      </c>
      <c r="O38" s="2" t="s">
        <v>27</v>
      </c>
      <c r="P38" s="2" t="s">
        <v>28</v>
      </c>
    </row>
    <row r="39">
      <c r="A39" s="2" t="s">
        <v>71</v>
      </c>
      <c r="B39" s="3">
        <v>46282.0</v>
      </c>
      <c r="C39" s="5">
        <v>0.6701388888888888</v>
      </c>
      <c r="D39" s="2" t="s">
        <v>23</v>
      </c>
      <c r="E39" s="2" t="s">
        <v>31</v>
      </c>
      <c r="F39" s="2">
        <v>8.0</v>
      </c>
      <c r="G39" s="2">
        <v>11.0</v>
      </c>
      <c r="H39" s="2" t="s">
        <v>32</v>
      </c>
      <c r="I39" s="2">
        <v>11.0</v>
      </c>
      <c r="J39" s="2">
        <v>0.0</v>
      </c>
      <c r="K39" s="6">
        <v>1.0</v>
      </c>
      <c r="L39" s="6">
        <v>0.0</v>
      </c>
      <c r="M39" s="2" t="s">
        <v>26</v>
      </c>
      <c r="N39" s="2" t="s">
        <v>27</v>
      </c>
      <c r="O39" s="2" t="s">
        <v>27</v>
      </c>
      <c r="P39" s="2" t="s">
        <v>28</v>
      </c>
    </row>
    <row r="40">
      <c r="A40" s="2" t="s">
        <v>72</v>
      </c>
      <c r="B40" s="3">
        <v>46282.0</v>
      </c>
      <c r="C40" s="5">
        <v>0.6701388888888888</v>
      </c>
      <c r="D40" s="2" t="s">
        <v>23</v>
      </c>
      <c r="E40" s="2" t="s">
        <v>35</v>
      </c>
      <c r="F40" s="2">
        <v>12.0</v>
      </c>
      <c r="G40" s="2">
        <v>11.0</v>
      </c>
      <c r="H40" s="2" t="s">
        <v>25</v>
      </c>
      <c r="I40" s="2">
        <v>11.0</v>
      </c>
      <c r="J40" s="2">
        <v>0.0</v>
      </c>
      <c r="K40" s="6">
        <v>1.0</v>
      </c>
      <c r="L40" s="6">
        <v>0.0</v>
      </c>
      <c r="M40" s="2" t="s">
        <v>26</v>
      </c>
      <c r="N40" s="2" t="s">
        <v>27</v>
      </c>
      <c r="O40" s="2" t="s">
        <v>27</v>
      </c>
      <c r="P40" s="2" t="s">
        <v>28</v>
      </c>
    </row>
    <row r="41">
      <c r="A41" s="2" t="s">
        <v>73</v>
      </c>
      <c r="B41" s="3">
        <v>46282.0</v>
      </c>
      <c r="C41" s="5">
        <v>0.6895833333333333</v>
      </c>
      <c r="D41" s="2" t="s">
        <v>23</v>
      </c>
      <c r="E41" s="2" t="s">
        <v>24</v>
      </c>
      <c r="F41" s="2">
        <v>19.0</v>
      </c>
      <c r="G41" s="2">
        <v>11.0</v>
      </c>
      <c r="H41" s="2" t="s">
        <v>25</v>
      </c>
      <c r="I41" s="2">
        <v>11.0</v>
      </c>
      <c r="J41" s="2">
        <v>0.0</v>
      </c>
      <c r="K41" s="6">
        <v>1.0</v>
      </c>
      <c r="L41" s="6">
        <v>0.0</v>
      </c>
      <c r="M41" s="2" t="s">
        <v>26</v>
      </c>
      <c r="N41" s="2" t="s">
        <v>27</v>
      </c>
      <c r="O41" s="2" t="s">
        <v>27</v>
      </c>
      <c r="P41" s="2" t="s">
        <v>28</v>
      </c>
    </row>
    <row r="42">
      <c r="A42" s="2" t="s">
        <v>74</v>
      </c>
      <c r="B42" s="3">
        <v>46282.0</v>
      </c>
      <c r="C42" s="5">
        <v>0.6895833333333333</v>
      </c>
      <c r="D42" s="2" t="s">
        <v>23</v>
      </c>
      <c r="E42" s="2" t="s">
        <v>31</v>
      </c>
      <c r="F42" s="2">
        <v>11.0</v>
      </c>
      <c r="G42" s="2">
        <v>11.0</v>
      </c>
      <c r="H42" s="2" t="s">
        <v>32</v>
      </c>
      <c r="I42" s="2">
        <v>11.0</v>
      </c>
      <c r="J42" s="2">
        <v>0.0</v>
      </c>
      <c r="K42" s="6">
        <v>1.0</v>
      </c>
      <c r="L42" s="6">
        <v>0.0</v>
      </c>
      <c r="M42" s="2" t="s">
        <v>26</v>
      </c>
      <c r="N42" s="2" t="s">
        <v>27</v>
      </c>
      <c r="O42" s="2" t="s">
        <v>27</v>
      </c>
      <c r="P42" s="2" t="s">
        <v>28</v>
      </c>
    </row>
    <row r="43">
      <c r="A43" s="2" t="s">
        <v>75</v>
      </c>
      <c r="B43" s="3">
        <v>46282.0</v>
      </c>
      <c r="C43" s="5">
        <v>0.6895833333333333</v>
      </c>
      <c r="D43" s="2" t="s">
        <v>23</v>
      </c>
      <c r="E43" s="2" t="s">
        <v>35</v>
      </c>
      <c r="F43" s="2">
        <v>14.0</v>
      </c>
      <c r="G43" s="2">
        <v>11.0</v>
      </c>
      <c r="H43" s="2" t="s">
        <v>25</v>
      </c>
      <c r="I43" s="2">
        <v>11.0</v>
      </c>
      <c r="J43" s="2">
        <v>0.0</v>
      </c>
      <c r="K43" s="6">
        <v>1.0</v>
      </c>
      <c r="L43" s="6">
        <v>0.0</v>
      </c>
      <c r="M43" s="2" t="s">
        <v>26</v>
      </c>
      <c r="N43" s="2" t="s">
        <v>27</v>
      </c>
      <c r="O43" s="2" t="s">
        <v>27</v>
      </c>
      <c r="P43" s="2" t="s">
        <v>28</v>
      </c>
    </row>
    <row r="44">
      <c r="A44" s="2" t="s">
        <v>76</v>
      </c>
      <c r="B44" s="3">
        <v>46282.0</v>
      </c>
      <c r="C44" s="5">
        <v>0.7104166666666667</v>
      </c>
      <c r="D44" s="2" t="s">
        <v>23</v>
      </c>
      <c r="E44" s="2" t="s">
        <v>24</v>
      </c>
      <c r="F44" s="2">
        <v>24.0</v>
      </c>
      <c r="G44" s="2">
        <v>11.0</v>
      </c>
      <c r="H44" s="2" t="s">
        <v>25</v>
      </c>
      <c r="I44" s="2">
        <v>11.0</v>
      </c>
      <c r="J44" s="2">
        <v>0.0</v>
      </c>
      <c r="K44" s="6">
        <v>1.0</v>
      </c>
      <c r="L44" s="6">
        <v>0.0</v>
      </c>
      <c r="M44" s="2" t="s">
        <v>26</v>
      </c>
      <c r="N44" s="2" t="s">
        <v>27</v>
      </c>
      <c r="O44" s="2" t="s">
        <v>77</v>
      </c>
      <c r="P44" s="2" t="s">
        <v>78</v>
      </c>
    </row>
    <row r="45">
      <c r="A45" s="2" t="s">
        <v>79</v>
      </c>
      <c r="B45" s="3">
        <v>46282.0</v>
      </c>
      <c r="C45" s="5">
        <v>0.7104166666666667</v>
      </c>
      <c r="D45" s="2" t="s">
        <v>23</v>
      </c>
      <c r="E45" s="2" t="s">
        <v>31</v>
      </c>
      <c r="F45" s="2">
        <v>11.0</v>
      </c>
      <c r="G45" s="2">
        <v>11.0</v>
      </c>
      <c r="H45" s="2" t="s">
        <v>32</v>
      </c>
      <c r="I45" s="2">
        <v>11.0</v>
      </c>
      <c r="J45" s="2">
        <v>0.0</v>
      </c>
      <c r="K45" s="6">
        <v>1.0</v>
      </c>
      <c r="L45" s="6">
        <v>0.0</v>
      </c>
      <c r="M45" s="2" t="s">
        <v>26</v>
      </c>
      <c r="N45" s="2" t="s">
        <v>27</v>
      </c>
      <c r="O45" s="2" t="s">
        <v>27</v>
      </c>
      <c r="P45" s="2" t="s">
        <v>28</v>
      </c>
    </row>
    <row r="46">
      <c r="A46" s="2" t="s">
        <v>80</v>
      </c>
      <c r="B46" s="3">
        <v>46282.0</v>
      </c>
      <c r="C46" s="5">
        <v>0.7104166666666667</v>
      </c>
      <c r="D46" s="2" t="s">
        <v>23</v>
      </c>
      <c r="E46" s="2" t="s">
        <v>35</v>
      </c>
      <c r="F46" s="2">
        <v>14.0</v>
      </c>
      <c r="G46" s="2">
        <v>11.0</v>
      </c>
      <c r="H46" s="2" t="s">
        <v>25</v>
      </c>
      <c r="I46" s="2">
        <v>11.0</v>
      </c>
      <c r="J46" s="2">
        <v>0.0</v>
      </c>
      <c r="K46" s="6">
        <v>1.0</v>
      </c>
      <c r="L46" s="6">
        <v>0.0</v>
      </c>
      <c r="M46" s="2" t="s">
        <v>26</v>
      </c>
      <c r="N46" s="2" t="s">
        <v>27</v>
      </c>
      <c r="O46" s="2" t="s">
        <v>77</v>
      </c>
      <c r="P46" s="2" t="s">
        <v>78</v>
      </c>
    </row>
    <row r="47">
      <c r="A47" s="2" t="s">
        <v>82</v>
      </c>
      <c r="B47" s="3">
        <v>46282.0</v>
      </c>
      <c r="C47" s="5">
        <v>0.7361111111111112</v>
      </c>
      <c r="D47" s="2" t="s">
        <v>23</v>
      </c>
      <c r="E47" s="2" t="s">
        <v>24</v>
      </c>
      <c r="F47" s="2">
        <v>22.0</v>
      </c>
      <c r="G47" s="2">
        <v>11.0</v>
      </c>
      <c r="H47" s="2" t="s">
        <v>25</v>
      </c>
      <c r="I47" s="2">
        <v>11.0</v>
      </c>
      <c r="J47" s="2">
        <v>0.0</v>
      </c>
      <c r="K47" s="6">
        <v>1.0</v>
      </c>
      <c r="L47" s="6">
        <v>0.0</v>
      </c>
      <c r="M47" s="2" t="s">
        <v>26</v>
      </c>
      <c r="N47" s="2" t="s">
        <v>27</v>
      </c>
      <c r="O47" s="2" t="s">
        <v>77</v>
      </c>
      <c r="P47" s="2" t="s">
        <v>78</v>
      </c>
    </row>
    <row r="48">
      <c r="A48" s="2" t="s">
        <v>83</v>
      </c>
      <c r="B48" s="3">
        <v>46282.0</v>
      </c>
      <c r="C48" s="5">
        <v>0.7361111111111112</v>
      </c>
      <c r="D48" s="2" t="s">
        <v>23</v>
      </c>
      <c r="E48" s="2" t="s">
        <v>31</v>
      </c>
      <c r="F48" s="2">
        <v>12.0</v>
      </c>
      <c r="G48" s="2">
        <v>11.0</v>
      </c>
      <c r="H48" s="2" t="s">
        <v>32</v>
      </c>
      <c r="I48" s="2">
        <v>11.0</v>
      </c>
      <c r="J48" s="2">
        <v>0.0</v>
      </c>
      <c r="K48" s="6">
        <v>1.0</v>
      </c>
      <c r="L48" s="6">
        <v>0.0</v>
      </c>
      <c r="M48" s="2" t="s">
        <v>26</v>
      </c>
      <c r="N48" s="2" t="s">
        <v>27</v>
      </c>
      <c r="O48" s="2" t="s">
        <v>27</v>
      </c>
      <c r="P48" s="2" t="s">
        <v>28</v>
      </c>
    </row>
    <row r="49">
      <c r="A49" s="2" t="s">
        <v>84</v>
      </c>
      <c r="B49" s="3">
        <v>46282.0</v>
      </c>
      <c r="C49" s="5">
        <v>0.7361111111111112</v>
      </c>
      <c r="D49" s="2" t="s">
        <v>23</v>
      </c>
      <c r="E49" s="2" t="s">
        <v>35</v>
      </c>
      <c r="F49" s="2">
        <v>20.0</v>
      </c>
      <c r="G49" s="2">
        <v>11.0</v>
      </c>
      <c r="H49" s="2" t="s">
        <v>25</v>
      </c>
      <c r="I49" s="2">
        <v>11.0</v>
      </c>
      <c r="J49" s="2">
        <v>0.0</v>
      </c>
      <c r="K49" s="6">
        <v>1.0</v>
      </c>
      <c r="L49" s="6">
        <v>0.0</v>
      </c>
      <c r="M49" s="2" t="s">
        <v>26</v>
      </c>
      <c r="N49" s="2" t="s">
        <v>27</v>
      </c>
      <c r="O49" s="2" t="s">
        <v>77</v>
      </c>
      <c r="P49" s="2" t="s">
        <v>78</v>
      </c>
    </row>
    <row r="50">
      <c r="A50" s="2" t="s">
        <v>85</v>
      </c>
      <c r="B50" s="3">
        <v>46282.0</v>
      </c>
      <c r="C50" s="5">
        <v>0.7520833333333333</v>
      </c>
      <c r="D50" s="2" t="s">
        <v>23</v>
      </c>
      <c r="E50" s="2" t="s">
        <v>24</v>
      </c>
      <c r="F50" s="2">
        <v>16.0</v>
      </c>
      <c r="G50" s="2">
        <v>11.0</v>
      </c>
      <c r="H50" s="2" t="s">
        <v>25</v>
      </c>
      <c r="I50" s="2">
        <v>11.0</v>
      </c>
      <c r="J50" s="2">
        <v>0.0</v>
      </c>
      <c r="K50" s="6">
        <v>1.0</v>
      </c>
      <c r="L50" s="6">
        <v>0.0</v>
      </c>
      <c r="M50" s="2" t="s">
        <v>26</v>
      </c>
      <c r="N50" s="2" t="s">
        <v>27</v>
      </c>
      <c r="O50" s="2" t="s">
        <v>27</v>
      </c>
      <c r="P50" s="2" t="s">
        <v>28</v>
      </c>
    </row>
    <row r="51">
      <c r="A51" s="2" t="s">
        <v>86</v>
      </c>
      <c r="B51" s="3">
        <v>46282.0</v>
      </c>
      <c r="C51" s="5">
        <v>0.7520833333333333</v>
      </c>
      <c r="D51" s="2" t="s">
        <v>23</v>
      </c>
      <c r="E51" s="2" t="s">
        <v>31</v>
      </c>
      <c r="F51" s="2">
        <v>11.0</v>
      </c>
      <c r="G51" s="2">
        <v>11.0</v>
      </c>
      <c r="H51" s="2" t="s">
        <v>32</v>
      </c>
      <c r="I51" s="2">
        <v>11.0</v>
      </c>
      <c r="J51" s="2">
        <v>0.0</v>
      </c>
      <c r="K51" s="6">
        <v>1.0</v>
      </c>
      <c r="L51" s="6">
        <v>0.0</v>
      </c>
      <c r="M51" s="2" t="s">
        <v>26</v>
      </c>
      <c r="N51" s="2" t="s">
        <v>27</v>
      </c>
      <c r="O51" s="2" t="s">
        <v>27</v>
      </c>
      <c r="P51" s="2" t="s">
        <v>28</v>
      </c>
    </row>
    <row r="52">
      <c r="A52" s="2" t="s">
        <v>87</v>
      </c>
      <c r="B52" s="3">
        <v>46282.0</v>
      </c>
      <c r="C52" s="5">
        <v>0.7520833333333333</v>
      </c>
      <c r="D52" s="2" t="s">
        <v>23</v>
      </c>
      <c r="E52" s="2" t="s">
        <v>35</v>
      </c>
      <c r="F52" s="2">
        <v>15.0</v>
      </c>
      <c r="G52" s="2">
        <v>11.0</v>
      </c>
      <c r="H52" s="2" t="s">
        <v>25</v>
      </c>
      <c r="I52" s="2">
        <v>11.0</v>
      </c>
      <c r="J52" s="2">
        <v>0.0</v>
      </c>
      <c r="K52" s="6">
        <v>1.0</v>
      </c>
      <c r="L52" s="6">
        <v>0.0</v>
      </c>
      <c r="M52" s="2" t="s">
        <v>26</v>
      </c>
      <c r="N52" s="2" t="s">
        <v>27</v>
      </c>
      <c r="O52" s="2" t="s">
        <v>27</v>
      </c>
      <c r="P52" s="2" t="s">
        <v>28</v>
      </c>
    </row>
    <row r="53">
      <c r="A53" s="2" t="s">
        <v>88</v>
      </c>
      <c r="B53" s="3">
        <v>46282.0</v>
      </c>
      <c r="C53" s="5">
        <v>0.78125</v>
      </c>
      <c r="D53" s="2" t="s">
        <v>23</v>
      </c>
      <c r="E53" s="2" t="s">
        <v>24</v>
      </c>
      <c r="F53" s="2">
        <v>15.0</v>
      </c>
      <c r="G53" s="2">
        <v>11.0</v>
      </c>
      <c r="H53" s="2" t="s">
        <v>25</v>
      </c>
      <c r="I53" s="2">
        <v>11.0</v>
      </c>
      <c r="J53" s="2">
        <v>0.0</v>
      </c>
      <c r="K53" s="6">
        <v>1.0</v>
      </c>
      <c r="L53" s="6">
        <v>0.0</v>
      </c>
      <c r="M53" s="2" t="s">
        <v>26</v>
      </c>
      <c r="N53" s="2" t="s">
        <v>27</v>
      </c>
      <c r="O53" s="2" t="s">
        <v>27</v>
      </c>
      <c r="P53" s="2" t="s">
        <v>28</v>
      </c>
    </row>
    <row r="54">
      <c r="A54" s="2" t="s">
        <v>89</v>
      </c>
      <c r="B54" s="3">
        <v>46282.0</v>
      </c>
      <c r="C54" s="5">
        <v>0.78125</v>
      </c>
      <c r="D54" s="2" t="s">
        <v>23</v>
      </c>
      <c r="E54" s="2" t="s">
        <v>31</v>
      </c>
      <c r="F54" s="2">
        <v>12.0</v>
      </c>
      <c r="G54" s="2">
        <v>11.0</v>
      </c>
      <c r="H54" s="2" t="s">
        <v>32</v>
      </c>
      <c r="I54" s="2">
        <v>11.0</v>
      </c>
      <c r="J54" s="2">
        <v>0.0</v>
      </c>
      <c r="K54" s="6">
        <v>1.0</v>
      </c>
      <c r="L54" s="6">
        <v>0.0</v>
      </c>
      <c r="M54" s="2" t="s">
        <v>26</v>
      </c>
      <c r="N54" s="2" t="s">
        <v>27</v>
      </c>
      <c r="O54" s="2" t="s">
        <v>27</v>
      </c>
      <c r="P54" s="2" t="s">
        <v>28</v>
      </c>
    </row>
    <row r="55">
      <c r="A55" s="2" t="s">
        <v>90</v>
      </c>
      <c r="B55" s="3">
        <v>46282.0</v>
      </c>
      <c r="C55" s="5">
        <v>0.78125</v>
      </c>
      <c r="D55" s="2" t="s">
        <v>23</v>
      </c>
      <c r="E55" s="2" t="s">
        <v>35</v>
      </c>
      <c r="F55" s="2">
        <v>14.0</v>
      </c>
      <c r="G55" s="2">
        <v>11.0</v>
      </c>
      <c r="H55" s="2" t="s">
        <v>25</v>
      </c>
      <c r="I55" s="2">
        <v>11.0</v>
      </c>
      <c r="J55" s="2">
        <v>0.0</v>
      </c>
      <c r="K55" s="6">
        <v>1.0</v>
      </c>
      <c r="L55" s="6">
        <v>0.0</v>
      </c>
      <c r="M55" s="2" t="s">
        <v>26</v>
      </c>
      <c r="N55" s="2" t="s">
        <v>27</v>
      </c>
      <c r="O55" s="2" t="s">
        <v>27</v>
      </c>
      <c r="P55" s="2" t="s">
        <v>28</v>
      </c>
    </row>
    <row r="56">
      <c r="A56" s="2" t="s">
        <v>91</v>
      </c>
      <c r="B56" s="3">
        <v>46282.0</v>
      </c>
      <c r="C56" s="5">
        <v>0.79375</v>
      </c>
      <c r="D56" s="2" t="s">
        <v>23</v>
      </c>
      <c r="E56" s="2" t="s">
        <v>24</v>
      </c>
      <c r="F56" s="2">
        <v>20.0</v>
      </c>
      <c r="G56" s="2">
        <v>11.0</v>
      </c>
      <c r="H56" s="2" t="s">
        <v>25</v>
      </c>
      <c r="I56" s="2">
        <v>11.0</v>
      </c>
      <c r="J56" s="2">
        <v>0.0</v>
      </c>
      <c r="K56" s="6">
        <v>1.0</v>
      </c>
      <c r="L56" s="6">
        <v>0.0</v>
      </c>
      <c r="M56" s="2" t="s">
        <v>26</v>
      </c>
      <c r="N56" s="2" t="s">
        <v>27</v>
      </c>
      <c r="O56" s="2" t="s">
        <v>27</v>
      </c>
      <c r="P56" s="2" t="s">
        <v>28</v>
      </c>
    </row>
    <row r="57">
      <c r="A57" s="2" t="s">
        <v>92</v>
      </c>
      <c r="B57" s="3">
        <v>46282.0</v>
      </c>
      <c r="C57" s="5">
        <v>0.79375</v>
      </c>
      <c r="D57" s="2" t="s">
        <v>23</v>
      </c>
      <c r="E57" s="2" t="s">
        <v>31</v>
      </c>
      <c r="F57" s="2">
        <v>13.0</v>
      </c>
      <c r="G57" s="2">
        <v>11.0</v>
      </c>
      <c r="H57" s="2" t="s">
        <v>32</v>
      </c>
      <c r="I57" s="2">
        <v>11.0</v>
      </c>
      <c r="J57" s="2">
        <v>0.0</v>
      </c>
      <c r="K57" s="6">
        <v>1.0</v>
      </c>
      <c r="L57" s="6">
        <v>0.0</v>
      </c>
      <c r="M57" s="2" t="s">
        <v>26</v>
      </c>
      <c r="N57" s="2" t="s">
        <v>27</v>
      </c>
      <c r="O57" s="2" t="s">
        <v>27</v>
      </c>
      <c r="P57" s="2" t="s">
        <v>28</v>
      </c>
    </row>
    <row r="58">
      <c r="A58" s="2" t="s">
        <v>93</v>
      </c>
      <c r="B58" s="3">
        <v>46282.0</v>
      </c>
      <c r="C58" s="5">
        <v>0.79375</v>
      </c>
      <c r="D58" s="2" t="s">
        <v>23</v>
      </c>
      <c r="E58" s="2" t="s">
        <v>35</v>
      </c>
      <c r="F58" s="2">
        <v>18.0</v>
      </c>
      <c r="G58" s="2">
        <v>11.0</v>
      </c>
      <c r="H58" s="2" t="s">
        <v>25</v>
      </c>
      <c r="I58" s="2">
        <v>11.0</v>
      </c>
      <c r="J58" s="2">
        <v>0.0</v>
      </c>
      <c r="K58" s="6">
        <v>1.0</v>
      </c>
      <c r="L58" s="6">
        <v>0.0</v>
      </c>
      <c r="M58" s="2" t="s">
        <v>26</v>
      </c>
      <c r="N58" s="2" t="s">
        <v>27</v>
      </c>
      <c r="O58" s="2" t="s">
        <v>27</v>
      </c>
      <c r="P58" s="2" t="s">
        <v>28</v>
      </c>
    </row>
    <row r="59">
      <c r="A59" s="2" t="s">
        <v>95</v>
      </c>
      <c r="B59" s="3">
        <v>46282.0</v>
      </c>
      <c r="C59" s="5">
        <v>0.8138888888888889</v>
      </c>
      <c r="D59" s="2" t="s">
        <v>23</v>
      </c>
      <c r="E59" s="2" t="s">
        <v>24</v>
      </c>
      <c r="F59" s="2">
        <v>16.0</v>
      </c>
      <c r="G59" s="2">
        <v>11.0</v>
      </c>
      <c r="H59" s="2" t="s">
        <v>25</v>
      </c>
      <c r="I59" s="2">
        <v>11.0</v>
      </c>
      <c r="J59" s="2">
        <v>0.0</v>
      </c>
      <c r="K59" s="6">
        <v>1.0</v>
      </c>
      <c r="L59" s="6">
        <v>0.0</v>
      </c>
      <c r="M59" s="2" t="s">
        <v>26</v>
      </c>
      <c r="N59" s="2" t="s">
        <v>27</v>
      </c>
      <c r="O59" s="2" t="s">
        <v>27</v>
      </c>
      <c r="P59" s="2" t="s">
        <v>28</v>
      </c>
    </row>
    <row r="60">
      <c r="A60" s="2" t="s">
        <v>96</v>
      </c>
      <c r="B60" s="3">
        <v>46282.0</v>
      </c>
      <c r="C60" s="5">
        <v>0.8138888888888889</v>
      </c>
      <c r="D60" s="2" t="s">
        <v>23</v>
      </c>
      <c r="E60" s="2" t="s">
        <v>31</v>
      </c>
      <c r="F60" s="2">
        <v>11.0</v>
      </c>
      <c r="G60" s="2">
        <v>11.0</v>
      </c>
      <c r="H60" s="2" t="s">
        <v>32</v>
      </c>
      <c r="I60" s="2">
        <v>11.0</v>
      </c>
      <c r="J60" s="2">
        <v>0.0</v>
      </c>
      <c r="K60" s="6">
        <v>1.0</v>
      </c>
      <c r="L60" s="6">
        <v>0.0</v>
      </c>
      <c r="M60" s="2" t="s">
        <v>26</v>
      </c>
      <c r="N60" s="2" t="s">
        <v>27</v>
      </c>
      <c r="O60" s="2" t="s">
        <v>27</v>
      </c>
      <c r="P60" s="2" t="s">
        <v>28</v>
      </c>
    </row>
    <row r="61">
      <c r="A61" s="2" t="s">
        <v>97</v>
      </c>
      <c r="B61" s="3">
        <v>46282.0</v>
      </c>
      <c r="C61" s="5">
        <v>0.8138888888888889</v>
      </c>
      <c r="D61" s="2" t="s">
        <v>23</v>
      </c>
      <c r="E61" s="2" t="s">
        <v>35</v>
      </c>
      <c r="F61" s="2">
        <v>14.0</v>
      </c>
      <c r="G61" s="2">
        <v>11.0</v>
      </c>
      <c r="H61" s="2" t="s">
        <v>25</v>
      </c>
      <c r="I61" s="2">
        <v>11.0</v>
      </c>
      <c r="J61" s="2">
        <v>0.0</v>
      </c>
      <c r="K61" s="6">
        <v>1.0</v>
      </c>
      <c r="L61" s="6">
        <v>0.0</v>
      </c>
      <c r="M61" s="2" t="s">
        <v>26</v>
      </c>
      <c r="N61" s="2" t="s">
        <v>27</v>
      </c>
      <c r="O61" s="2" t="s">
        <v>27</v>
      </c>
      <c r="P61" s="2" t="s">
        <v>28</v>
      </c>
    </row>
    <row r="62">
      <c r="A62" s="2" t="s">
        <v>98</v>
      </c>
      <c r="B62" s="3">
        <v>46282.0</v>
      </c>
      <c r="C62" s="5">
        <v>0.8340277777777778</v>
      </c>
      <c r="D62" s="2" t="s">
        <v>23</v>
      </c>
      <c r="E62" s="2" t="s">
        <v>24</v>
      </c>
      <c r="F62" s="2">
        <v>28.0</v>
      </c>
      <c r="G62" s="2">
        <v>11.0</v>
      </c>
      <c r="H62" s="2" t="s">
        <v>25</v>
      </c>
      <c r="I62" s="2">
        <v>11.0</v>
      </c>
      <c r="J62" s="2">
        <v>0.0</v>
      </c>
      <c r="K62" s="6">
        <v>1.0</v>
      </c>
      <c r="L62" s="6">
        <v>0.0</v>
      </c>
      <c r="M62" s="2" t="s">
        <v>26</v>
      </c>
      <c r="N62" s="2" t="s">
        <v>27</v>
      </c>
      <c r="O62" s="2" t="s">
        <v>77</v>
      </c>
      <c r="P62" s="2" t="s">
        <v>78</v>
      </c>
    </row>
    <row r="63">
      <c r="A63" s="2" t="s">
        <v>99</v>
      </c>
      <c r="B63" s="3">
        <v>46282.0</v>
      </c>
      <c r="C63" s="5">
        <v>0.8340277777777778</v>
      </c>
      <c r="D63" s="2" t="s">
        <v>23</v>
      </c>
      <c r="E63" s="2" t="s">
        <v>31</v>
      </c>
      <c r="F63" s="2">
        <v>12.0</v>
      </c>
      <c r="G63" s="2">
        <v>11.0</v>
      </c>
      <c r="H63" s="2" t="s">
        <v>32</v>
      </c>
      <c r="I63" s="2">
        <v>11.0</v>
      </c>
      <c r="J63" s="2">
        <v>0.0</v>
      </c>
      <c r="K63" s="6">
        <v>1.0</v>
      </c>
      <c r="L63" s="6">
        <v>0.0</v>
      </c>
      <c r="M63" s="2" t="s">
        <v>26</v>
      </c>
      <c r="N63" s="2" t="s">
        <v>27</v>
      </c>
      <c r="O63" s="2" t="s">
        <v>27</v>
      </c>
      <c r="P63" s="2" t="s">
        <v>28</v>
      </c>
    </row>
    <row r="64">
      <c r="A64" s="2" t="s">
        <v>100</v>
      </c>
      <c r="B64" s="3">
        <v>46282.0</v>
      </c>
      <c r="C64" s="5">
        <v>0.8340277777777778</v>
      </c>
      <c r="D64" s="2" t="s">
        <v>23</v>
      </c>
      <c r="E64" s="2" t="s">
        <v>35</v>
      </c>
      <c r="F64" s="2">
        <v>23.0</v>
      </c>
      <c r="G64" s="2">
        <v>11.0</v>
      </c>
      <c r="H64" s="2" t="s">
        <v>25</v>
      </c>
      <c r="I64" s="2">
        <v>11.0</v>
      </c>
      <c r="J64" s="2">
        <v>0.0</v>
      </c>
      <c r="K64" s="6">
        <v>1.0</v>
      </c>
      <c r="L64" s="6">
        <v>0.0</v>
      </c>
      <c r="M64" s="2" t="s">
        <v>26</v>
      </c>
      <c r="N64" s="2" t="s">
        <v>27</v>
      </c>
      <c r="O64" s="2" t="s">
        <v>77</v>
      </c>
      <c r="P64" s="2" t="s">
        <v>78</v>
      </c>
    </row>
    <row r="65">
      <c r="A65" s="2" t="s">
        <v>101</v>
      </c>
      <c r="B65" s="3">
        <v>46282.0</v>
      </c>
      <c r="C65" s="5">
        <v>0.8569444444444444</v>
      </c>
      <c r="D65" s="2" t="s">
        <v>23</v>
      </c>
      <c r="E65" s="2" t="s">
        <v>24</v>
      </c>
      <c r="F65" s="2">
        <v>30.0</v>
      </c>
      <c r="G65" s="2">
        <v>11.0</v>
      </c>
      <c r="H65" s="2" t="s">
        <v>25</v>
      </c>
      <c r="I65" s="2">
        <v>11.0</v>
      </c>
      <c r="J65" s="2">
        <v>0.0</v>
      </c>
      <c r="K65" s="6">
        <v>1.0</v>
      </c>
      <c r="L65" s="6">
        <v>0.0</v>
      </c>
      <c r="M65" s="2" t="s">
        <v>26</v>
      </c>
      <c r="N65" s="2" t="s">
        <v>27</v>
      </c>
      <c r="O65" s="2" t="s">
        <v>77</v>
      </c>
      <c r="P65" s="2" t="s">
        <v>78</v>
      </c>
    </row>
    <row r="66">
      <c r="A66" s="2" t="s">
        <v>102</v>
      </c>
      <c r="B66" s="3">
        <v>46282.0</v>
      </c>
      <c r="C66" s="5">
        <v>0.8569444444444444</v>
      </c>
      <c r="D66" s="2" t="s">
        <v>23</v>
      </c>
      <c r="E66" s="2" t="s">
        <v>31</v>
      </c>
      <c r="F66" s="2">
        <v>13.0</v>
      </c>
      <c r="G66" s="2">
        <v>11.0</v>
      </c>
      <c r="H66" s="2" t="s">
        <v>32</v>
      </c>
      <c r="I66" s="2">
        <v>11.0</v>
      </c>
      <c r="J66" s="2">
        <v>0.0</v>
      </c>
      <c r="K66" s="6">
        <v>1.0</v>
      </c>
      <c r="L66" s="6">
        <v>0.0</v>
      </c>
      <c r="M66" s="2" t="s">
        <v>26</v>
      </c>
      <c r="N66" s="2" t="s">
        <v>27</v>
      </c>
      <c r="O66" s="2" t="s">
        <v>27</v>
      </c>
      <c r="P66" s="2" t="s">
        <v>28</v>
      </c>
    </row>
    <row r="67">
      <c r="A67" s="2" t="s">
        <v>103</v>
      </c>
      <c r="B67" s="3">
        <v>46282.0</v>
      </c>
      <c r="C67" s="5">
        <v>0.8569444444444444</v>
      </c>
      <c r="D67" s="2" t="s">
        <v>23</v>
      </c>
      <c r="E67" s="2" t="s">
        <v>35</v>
      </c>
      <c r="F67" s="2" t="s">
        <v>104</v>
      </c>
      <c r="G67" s="2">
        <v>11.0</v>
      </c>
      <c r="H67" s="2" t="s">
        <v>25</v>
      </c>
      <c r="I67" s="2">
        <v>0.0</v>
      </c>
      <c r="J67" s="2">
        <v>11.0</v>
      </c>
      <c r="K67" s="6">
        <v>0.0</v>
      </c>
      <c r="L67" s="6">
        <v>1.0</v>
      </c>
      <c r="M67" s="2" t="s">
        <v>26</v>
      </c>
      <c r="N67" s="2" t="s">
        <v>27</v>
      </c>
      <c r="O67" s="2" t="s">
        <v>105</v>
      </c>
      <c r="P67" s="2" t="s">
        <v>106</v>
      </c>
    </row>
    <row r="68">
      <c r="A68" s="2" t="s">
        <v>107</v>
      </c>
      <c r="B68" s="3">
        <v>46282.0</v>
      </c>
      <c r="C68" s="5">
        <v>0.875</v>
      </c>
      <c r="D68" s="2" t="s">
        <v>23</v>
      </c>
      <c r="E68" s="2" t="s">
        <v>24</v>
      </c>
      <c r="F68" s="2" t="s">
        <v>104</v>
      </c>
      <c r="G68" s="2">
        <v>11.0</v>
      </c>
      <c r="H68" s="2" t="s">
        <v>25</v>
      </c>
      <c r="I68" s="2">
        <v>0.0</v>
      </c>
      <c r="J68" s="2">
        <v>11.0</v>
      </c>
      <c r="K68" s="6">
        <v>0.0</v>
      </c>
      <c r="L68" s="6">
        <v>1.0</v>
      </c>
      <c r="M68" s="2" t="s">
        <v>26</v>
      </c>
      <c r="N68" s="2" t="s">
        <v>27</v>
      </c>
      <c r="O68" s="2" t="s">
        <v>105</v>
      </c>
      <c r="P68" s="2" t="s">
        <v>106</v>
      </c>
    </row>
    <row r="69">
      <c r="A69" s="2" t="s">
        <v>108</v>
      </c>
      <c r="B69" s="3">
        <v>46282.0</v>
      </c>
      <c r="C69" s="5">
        <v>0.875</v>
      </c>
      <c r="D69" s="2" t="s">
        <v>23</v>
      </c>
      <c r="E69" s="2" t="s">
        <v>31</v>
      </c>
      <c r="F69" s="2">
        <v>11.0</v>
      </c>
      <c r="G69" s="2">
        <v>11.0</v>
      </c>
      <c r="H69" s="2" t="s">
        <v>32</v>
      </c>
      <c r="I69" s="2">
        <v>11.0</v>
      </c>
      <c r="J69" s="2">
        <v>0.0</v>
      </c>
      <c r="K69" s="6">
        <v>1.0</v>
      </c>
      <c r="L69" s="6">
        <v>0.0</v>
      </c>
      <c r="M69" s="2" t="s">
        <v>26</v>
      </c>
      <c r="N69" s="2" t="s">
        <v>27</v>
      </c>
      <c r="O69" s="2" t="s">
        <v>27</v>
      </c>
      <c r="P69" s="2" t="s">
        <v>28</v>
      </c>
    </row>
    <row r="70">
      <c r="A70" s="2" t="s">
        <v>109</v>
      </c>
      <c r="B70" s="3">
        <v>46282.0</v>
      </c>
      <c r="C70" s="5">
        <v>0.875</v>
      </c>
      <c r="D70" s="2" t="s">
        <v>23</v>
      </c>
      <c r="E70" s="2" t="s">
        <v>35</v>
      </c>
      <c r="F70" s="2" t="s">
        <v>104</v>
      </c>
      <c r="G70" s="2">
        <v>11.0</v>
      </c>
      <c r="H70" s="2" t="s">
        <v>25</v>
      </c>
      <c r="I70" s="2">
        <v>0.0</v>
      </c>
      <c r="J70" s="2">
        <v>11.0</v>
      </c>
      <c r="K70" s="6">
        <v>0.0</v>
      </c>
      <c r="L70" s="6">
        <v>1.0</v>
      </c>
      <c r="M70" s="2" t="s">
        <v>26</v>
      </c>
      <c r="N70" s="2" t="s">
        <v>27</v>
      </c>
      <c r="O70" s="2" t="s">
        <v>105</v>
      </c>
      <c r="P70" s="2" t="s">
        <v>106</v>
      </c>
    </row>
    <row r="71">
      <c r="A71" s="2" t="s">
        <v>110</v>
      </c>
      <c r="B71" s="3">
        <v>46282.0</v>
      </c>
      <c r="C71" s="5">
        <v>0.8972222222222223</v>
      </c>
      <c r="D71" s="2" t="s">
        <v>23</v>
      </c>
      <c r="E71" s="2" t="s">
        <v>24</v>
      </c>
      <c r="F71" s="2">
        <v>26.0</v>
      </c>
      <c r="G71" s="2">
        <v>11.0</v>
      </c>
      <c r="H71" s="2" t="s">
        <v>25</v>
      </c>
      <c r="I71" s="2">
        <v>11.0</v>
      </c>
      <c r="J71" s="2">
        <v>0.0</v>
      </c>
      <c r="K71" s="6">
        <v>1.0</v>
      </c>
      <c r="L71" s="6">
        <v>0.0</v>
      </c>
      <c r="M71" s="2" t="s">
        <v>26</v>
      </c>
      <c r="N71" s="2" t="s">
        <v>27</v>
      </c>
      <c r="O71" s="2" t="s">
        <v>27</v>
      </c>
      <c r="P71" s="2" t="s">
        <v>28</v>
      </c>
    </row>
    <row r="72">
      <c r="A72" s="2" t="s">
        <v>111</v>
      </c>
      <c r="B72" s="3">
        <v>46282.0</v>
      </c>
      <c r="C72" s="5">
        <v>0.8972222222222223</v>
      </c>
      <c r="D72" s="2" t="s">
        <v>23</v>
      </c>
      <c r="E72" s="2" t="s">
        <v>31</v>
      </c>
      <c r="F72" s="2">
        <v>12.0</v>
      </c>
      <c r="G72" s="2">
        <v>11.0</v>
      </c>
      <c r="H72" s="2" t="s">
        <v>32</v>
      </c>
      <c r="I72" s="2">
        <v>11.0</v>
      </c>
      <c r="J72" s="2">
        <v>0.0</v>
      </c>
      <c r="K72" s="6">
        <v>1.0</v>
      </c>
      <c r="L72" s="6">
        <v>0.0</v>
      </c>
      <c r="M72" s="2" t="s">
        <v>26</v>
      </c>
      <c r="N72" s="2" t="s">
        <v>27</v>
      </c>
      <c r="O72" s="2" t="s">
        <v>27</v>
      </c>
      <c r="P72" s="2" t="s">
        <v>28</v>
      </c>
    </row>
    <row r="73">
      <c r="A73" s="2" t="s">
        <v>112</v>
      </c>
      <c r="B73" s="3">
        <v>46282.0</v>
      </c>
      <c r="C73" s="5">
        <v>0.8972222222222223</v>
      </c>
      <c r="D73" s="2" t="s">
        <v>23</v>
      </c>
      <c r="E73" s="2" t="s">
        <v>35</v>
      </c>
      <c r="F73" s="2" t="s">
        <v>104</v>
      </c>
      <c r="G73" s="2">
        <v>11.0</v>
      </c>
      <c r="H73" s="2" t="s">
        <v>25</v>
      </c>
      <c r="I73" s="2">
        <v>0.0</v>
      </c>
      <c r="J73" s="2">
        <v>11.0</v>
      </c>
      <c r="K73" s="6">
        <v>0.0</v>
      </c>
      <c r="L73" s="6">
        <v>1.0</v>
      </c>
      <c r="M73" s="2" t="s">
        <v>26</v>
      </c>
      <c r="N73" s="2" t="s">
        <v>27</v>
      </c>
      <c r="O73" s="2" t="s">
        <v>105</v>
      </c>
      <c r="P73" s="2" t="s">
        <v>106</v>
      </c>
    </row>
    <row r="74">
      <c r="A74" s="2" t="s">
        <v>114</v>
      </c>
      <c r="B74" s="3">
        <v>46282.0</v>
      </c>
      <c r="C74" s="5">
        <v>0.9166666666666666</v>
      </c>
      <c r="D74" s="2" t="s">
        <v>23</v>
      </c>
      <c r="E74" s="2" t="s">
        <v>24</v>
      </c>
      <c r="F74" s="2" t="s">
        <v>104</v>
      </c>
      <c r="G74" s="2">
        <v>11.0</v>
      </c>
      <c r="H74" s="2" t="s">
        <v>25</v>
      </c>
      <c r="I74" s="2">
        <v>0.0</v>
      </c>
      <c r="J74" s="2">
        <v>11.0</v>
      </c>
      <c r="K74" s="6">
        <v>0.0</v>
      </c>
      <c r="L74" s="6">
        <v>1.0</v>
      </c>
      <c r="M74" s="2" t="s">
        <v>26</v>
      </c>
      <c r="N74" s="2" t="s">
        <v>27</v>
      </c>
      <c r="O74" s="2" t="s">
        <v>105</v>
      </c>
      <c r="P74" s="2" t="s">
        <v>106</v>
      </c>
    </row>
    <row r="75">
      <c r="A75" s="2" t="s">
        <v>115</v>
      </c>
      <c r="B75" s="3">
        <v>46282.0</v>
      </c>
      <c r="C75" s="5">
        <v>0.9166666666666666</v>
      </c>
      <c r="D75" s="2" t="s">
        <v>23</v>
      </c>
      <c r="E75" s="2" t="s">
        <v>31</v>
      </c>
      <c r="F75" s="2">
        <v>12.0</v>
      </c>
      <c r="G75" s="2">
        <v>11.0</v>
      </c>
      <c r="H75" s="2" t="s">
        <v>32</v>
      </c>
      <c r="I75" s="2">
        <v>11.0</v>
      </c>
      <c r="J75" s="2">
        <v>0.0</v>
      </c>
      <c r="K75" s="6">
        <v>1.0</v>
      </c>
      <c r="L75" s="6">
        <v>0.0</v>
      </c>
      <c r="M75" s="2" t="s">
        <v>26</v>
      </c>
      <c r="N75" s="2" t="s">
        <v>27</v>
      </c>
      <c r="O75" s="2" t="s">
        <v>27</v>
      </c>
      <c r="P75" s="2" t="s">
        <v>28</v>
      </c>
    </row>
    <row r="76">
      <c r="A76" s="2" t="s">
        <v>116</v>
      </c>
      <c r="B76" s="3">
        <v>46282.0</v>
      </c>
      <c r="C76" s="5">
        <v>0.9166666666666666</v>
      </c>
      <c r="D76" s="2" t="s">
        <v>23</v>
      </c>
      <c r="E76" s="2" t="s">
        <v>35</v>
      </c>
      <c r="F76" s="2" t="s">
        <v>104</v>
      </c>
      <c r="G76" s="2">
        <v>11.0</v>
      </c>
      <c r="H76" s="2" t="s">
        <v>25</v>
      </c>
      <c r="I76" s="2">
        <v>0.0</v>
      </c>
      <c r="J76" s="2">
        <v>11.0</v>
      </c>
      <c r="K76" s="6">
        <v>0.0</v>
      </c>
      <c r="L76" s="6">
        <v>1.0</v>
      </c>
      <c r="M76" s="2" t="s">
        <v>26</v>
      </c>
      <c r="N76" s="2" t="s">
        <v>27</v>
      </c>
      <c r="O76" s="2" t="s">
        <v>105</v>
      </c>
      <c r="P76" s="2" t="s">
        <v>106</v>
      </c>
    </row>
    <row r="77">
      <c r="A77" s="2" t="s">
        <v>117</v>
      </c>
      <c r="B77" s="3">
        <v>46282.0</v>
      </c>
      <c r="C77" s="5">
        <v>0.9375</v>
      </c>
      <c r="D77" s="2" t="s">
        <v>23</v>
      </c>
      <c r="E77" s="2" t="s">
        <v>24</v>
      </c>
      <c r="F77" s="2" t="s">
        <v>104</v>
      </c>
      <c r="G77" s="2">
        <v>11.0</v>
      </c>
      <c r="H77" s="2" t="s">
        <v>25</v>
      </c>
      <c r="I77" s="2">
        <v>11.0</v>
      </c>
      <c r="J77" s="2">
        <v>0.0</v>
      </c>
      <c r="K77" s="6">
        <v>1.0</v>
      </c>
      <c r="L77" s="6">
        <v>0.0</v>
      </c>
      <c r="M77" s="2" t="s">
        <v>26</v>
      </c>
      <c r="N77" s="2" t="s">
        <v>27</v>
      </c>
      <c r="O77" s="2" t="s">
        <v>105</v>
      </c>
      <c r="P77" s="2" t="s">
        <v>106</v>
      </c>
    </row>
    <row r="78">
      <c r="A78" s="2" t="s">
        <v>118</v>
      </c>
      <c r="B78" s="3">
        <v>46282.0</v>
      </c>
      <c r="C78" s="5">
        <v>0.9375</v>
      </c>
      <c r="D78" s="2" t="s">
        <v>23</v>
      </c>
      <c r="E78" s="2" t="s">
        <v>31</v>
      </c>
      <c r="F78" s="2">
        <v>11.0</v>
      </c>
      <c r="G78" s="2">
        <v>11.0</v>
      </c>
      <c r="H78" s="2" t="s">
        <v>32</v>
      </c>
      <c r="I78" s="2">
        <v>11.0</v>
      </c>
      <c r="J78" s="2">
        <v>0.0</v>
      </c>
      <c r="K78" s="6">
        <v>1.0</v>
      </c>
      <c r="L78" s="6">
        <v>0.0</v>
      </c>
      <c r="M78" s="2" t="s">
        <v>26</v>
      </c>
      <c r="N78" s="2" t="s">
        <v>27</v>
      </c>
      <c r="O78" s="2" t="s">
        <v>27</v>
      </c>
      <c r="P78" s="2" t="s">
        <v>28</v>
      </c>
    </row>
    <row r="79">
      <c r="A79" s="2" t="s">
        <v>119</v>
      </c>
      <c r="B79" s="3">
        <v>46282.0</v>
      </c>
      <c r="C79" s="5">
        <v>0.9375</v>
      </c>
      <c r="D79" s="2" t="s">
        <v>23</v>
      </c>
      <c r="E79" s="2" t="s">
        <v>35</v>
      </c>
      <c r="F79" s="2" t="s">
        <v>104</v>
      </c>
      <c r="G79" s="2">
        <v>11.0</v>
      </c>
      <c r="H79" s="2" t="s">
        <v>25</v>
      </c>
      <c r="I79" s="2">
        <v>0.0</v>
      </c>
      <c r="J79" s="2">
        <v>11.0</v>
      </c>
      <c r="K79" s="6">
        <v>0.0</v>
      </c>
      <c r="L79" s="6">
        <v>1.0</v>
      </c>
      <c r="M79" s="2" t="s">
        <v>26</v>
      </c>
      <c r="N79" s="2" t="s">
        <v>27</v>
      </c>
      <c r="O79" s="2" t="s">
        <v>105</v>
      </c>
      <c r="P79" s="2" t="s">
        <v>106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5"/>
    <col customWidth="1" min="9" max="9" width="15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6</v>
      </c>
      <c r="G1" s="2" t="s">
        <v>9</v>
      </c>
      <c r="H1" s="2" t="s">
        <v>12</v>
      </c>
      <c r="I1" s="2" t="s">
        <v>15</v>
      </c>
      <c r="J1" s="2" t="s">
        <v>18</v>
      </c>
      <c r="K1" s="2" t="s">
        <v>7</v>
      </c>
      <c r="L1" s="2" t="s">
        <v>8</v>
      </c>
      <c r="M1" s="2" t="s">
        <v>10</v>
      </c>
      <c r="N1" s="2" t="s">
        <v>11</v>
      </c>
      <c r="O1" s="4" t="s">
        <v>22</v>
      </c>
      <c r="P1" s="2" t="s">
        <v>14</v>
      </c>
      <c r="Q1" s="2" t="s">
        <v>16</v>
      </c>
      <c r="R1" s="2" t="s">
        <v>17</v>
      </c>
      <c r="S1" s="2" t="s">
        <v>19</v>
      </c>
      <c r="T1" s="2" t="s">
        <v>20</v>
      </c>
      <c r="U1" s="2" t="s">
        <v>30</v>
      </c>
    </row>
    <row r="2">
      <c r="A2" s="1" t="s">
        <v>21</v>
      </c>
      <c r="B2" s="3">
        <v>46282.0</v>
      </c>
      <c r="C2" s="1" t="s">
        <v>34</v>
      </c>
      <c r="D2" s="2" t="s">
        <v>23</v>
      </c>
      <c r="E2" s="2" t="s">
        <v>24</v>
      </c>
      <c r="F2" s="2">
        <v>21.0</v>
      </c>
      <c r="G2" s="2">
        <f t="shared" ref="G2:G79" si="1">IF(F2="NA", "", VALUE(F2))</f>
        <v>21</v>
      </c>
      <c r="H2" s="2" t="str">
        <f t="shared" ref="H2:H79" si="2">IF(ISBLANK(F2), "Unserviceable", IF(F2&lt;=15, "On-Time (&lt;=15m)", IF(F2&lt;=20, "Moderate (16-20m)", "SLA Breach (&gt;20m)")))</f>
        <v>SLA Breach (&gt;20m)</v>
      </c>
      <c r="I2" s="2">
        <f t="shared" ref="I2:I79" si="3">IF(O2=0, 1, 0)</f>
        <v>0</v>
      </c>
      <c r="J2" s="2">
        <f t="shared" ref="J2:J79" si="4">IF(T2="Surge Pricing", 1, 0)</f>
        <v>0</v>
      </c>
      <c r="K2" s="2">
        <v>11.0</v>
      </c>
      <c r="L2" s="2" t="s">
        <v>25</v>
      </c>
      <c r="M2" s="2">
        <v>11.0</v>
      </c>
      <c r="N2" s="2">
        <v>0.0</v>
      </c>
      <c r="O2" s="4">
        <v>1.0</v>
      </c>
      <c r="P2" s="6">
        <v>0.0</v>
      </c>
      <c r="Q2" s="2" t="s">
        <v>26</v>
      </c>
      <c r="R2" s="2" t="s">
        <v>27</v>
      </c>
      <c r="S2" s="2" t="s">
        <v>27</v>
      </c>
      <c r="T2" s="2" t="s">
        <v>28</v>
      </c>
      <c r="U2" s="2">
        <v>1.0</v>
      </c>
    </row>
    <row r="3">
      <c r="A3" s="1" t="s">
        <v>29</v>
      </c>
      <c r="B3" s="3">
        <v>46282.0</v>
      </c>
      <c r="C3" s="1" t="s">
        <v>34</v>
      </c>
      <c r="D3" s="2" t="s">
        <v>23</v>
      </c>
      <c r="E3" s="2" t="s">
        <v>31</v>
      </c>
      <c r="F3" s="2">
        <v>8.0</v>
      </c>
      <c r="G3" s="2">
        <f t="shared" si="1"/>
        <v>8</v>
      </c>
      <c r="H3" s="2" t="str">
        <f t="shared" si="2"/>
        <v>On-Time (&lt;=15m)</v>
      </c>
      <c r="I3" s="2">
        <f t="shared" si="3"/>
        <v>0</v>
      </c>
      <c r="J3" s="2">
        <f t="shared" si="4"/>
        <v>0</v>
      </c>
      <c r="K3" s="2">
        <v>11.0</v>
      </c>
      <c r="L3" s="2" t="s">
        <v>32</v>
      </c>
      <c r="M3" s="2">
        <v>11.0</v>
      </c>
      <c r="N3" s="2">
        <v>0.0</v>
      </c>
      <c r="O3" s="4">
        <v>1.0</v>
      </c>
      <c r="P3" s="6">
        <v>0.0</v>
      </c>
      <c r="Q3" s="2" t="s">
        <v>26</v>
      </c>
      <c r="R3" s="2" t="s">
        <v>27</v>
      </c>
      <c r="S3" s="2" t="s">
        <v>27</v>
      </c>
      <c r="T3" s="2" t="s">
        <v>28</v>
      </c>
      <c r="U3" s="2">
        <v>2.0</v>
      </c>
    </row>
    <row r="4">
      <c r="A4" s="1" t="s">
        <v>33</v>
      </c>
      <c r="B4" s="3">
        <v>46282.0</v>
      </c>
      <c r="C4" s="1" t="s">
        <v>34</v>
      </c>
      <c r="D4" s="2" t="s">
        <v>23</v>
      </c>
      <c r="E4" s="2" t="s">
        <v>35</v>
      </c>
      <c r="F4" s="2">
        <v>18.0</v>
      </c>
      <c r="G4" s="2">
        <f t="shared" si="1"/>
        <v>18</v>
      </c>
      <c r="H4" s="2" t="str">
        <f t="shared" si="2"/>
        <v>Moderate (16-20m)</v>
      </c>
      <c r="I4" s="2">
        <f t="shared" si="3"/>
        <v>0</v>
      </c>
      <c r="J4" s="2">
        <f t="shared" si="4"/>
        <v>0</v>
      </c>
      <c r="K4" s="2">
        <v>11.0</v>
      </c>
      <c r="L4" s="2" t="s">
        <v>25</v>
      </c>
      <c r="M4" s="2">
        <v>11.0</v>
      </c>
      <c r="N4" s="2">
        <v>0.0</v>
      </c>
      <c r="O4" s="4">
        <v>1.0</v>
      </c>
      <c r="P4" s="6">
        <v>0.0</v>
      </c>
      <c r="Q4" s="2" t="s">
        <v>26</v>
      </c>
      <c r="R4" s="2" t="s">
        <v>27</v>
      </c>
      <c r="S4" s="2" t="s">
        <v>27</v>
      </c>
      <c r="T4" s="2" t="s">
        <v>28</v>
      </c>
      <c r="U4" s="2">
        <v>3.0</v>
      </c>
    </row>
    <row r="5">
      <c r="A5" s="1" t="s">
        <v>36</v>
      </c>
      <c r="B5" s="3">
        <v>46282.0</v>
      </c>
      <c r="C5" s="1" t="s">
        <v>67</v>
      </c>
      <c r="D5" s="2" t="s">
        <v>23</v>
      </c>
      <c r="E5" s="2" t="s">
        <v>24</v>
      </c>
      <c r="F5" s="2">
        <v>11.0</v>
      </c>
      <c r="G5" s="2">
        <f t="shared" si="1"/>
        <v>11</v>
      </c>
      <c r="H5" s="2" t="str">
        <f t="shared" si="2"/>
        <v>On-Time (&lt;=15m)</v>
      </c>
      <c r="I5" s="2">
        <f t="shared" si="3"/>
        <v>0</v>
      </c>
      <c r="J5" s="2">
        <f t="shared" si="4"/>
        <v>0</v>
      </c>
      <c r="K5" s="2">
        <v>11.0</v>
      </c>
      <c r="L5" s="2" t="s">
        <v>25</v>
      </c>
      <c r="M5" s="2">
        <v>11.0</v>
      </c>
      <c r="N5" s="2">
        <v>0.0</v>
      </c>
      <c r="O5" s="4">
        <v>1.0</v>
      </c>
      <c r="P5" s="6">
        <v>0.0</v>
      </c>
      <c r="Q5" s="2" t="s">
        <v>26</v>
      </c>
      <c r="R5" s="2" t="s">
        <v>27</v>
      </c>
      <c r="S5" s="2" t="s">
        <v>27</v>
      </c>
      <c r="T5" s="2" t="s">
        <v>28</v>
      </c>
      <c r="U5" s="2">
        <v>4.0</v>
      </c>
    </row>
    <row r="6">
      <c r="A6" s="1" t="s">
        <v>37</v>
      </c>
      <c r="B6" s="3">
        <v>46282.0</v>
      </c>
      <c r="C6" s="1" t="s">
        <v>67</v>
      </c>
      <c r="D6" s="2" t="s">
        <v>23</v>
      </c>
      <c r="E6" s="2" t="s">
        <v>31</v>
      </c>
      <c r="F6" s="2">
        <v>8.0</v>
      </c>
      <c r="G6" s="2">
        <f t="shared" si="1"/>
        <v>8</v>
      </c>
      <c r="H6" s="2" t="str">
        <f t="shared" si="2"/>
        <v>On-Time (&lt;=15m)</v>
      </c>
      <c r="I6" s="2">
        <f t="shared" si="3"/>
        <v>0</v>
      </c>
      <c r="J6" s="2">
        <f t="shared" si="4"/>
        <v>0</v>
      </c>
      <c r="K6" s="2">
        <v>11.0</v>
      </c>
      <c r="L6" s="2" t="s">
        <v>32</v>
      </c>
      <c r="M6" s="2">
        <v>11.0</v>
      </c>
      <c r="N6" s="2">
        <v>0.0</v>
      </c>
      <c r="O6" s="4">
        <v>1.0</v>
      </c>
      <c r="P6" s="6">
        <v>0.0</v>
      </c>
      <c r="Q6" s="2" t="s">
        <v>26</v>
      </c>
      <c r="R6" s="2" t="s">
        <v>27</v>
      </c>
      <c r="S6" s="2" t="s">
        <v>27</v>
      </c>
      <c r="T6" s="2" t="s">
        <v>28</v>
      </c>
      <c r="U6" s="2">
        <v>5.0</v>
      </c>
    </row>
    <row r="7">
      <c r="A7" s="1" t="s">
        <v>38</v>
      </c>
      <c r="B7" s="3">
        <v>46282.0</v>
      </c>
      <c r="C7" s="1" t="s">
        <v>67</v>
      </c>
      <c r="D7" s="2" t="s">
        <v>23</v>
      </c>
      <c r="E7" s="2" t="s">
        <v>35</v>
      </c>
      <c r="F7" s="2">
        <v>12.0</v>
      </c>
      <c r="G7" s="2">
        <f t="shared" si="1"/>
        <v>12</v>
      </c>
      <c r="H7" s="2" t="str">
        <f t="shared" si="2"/>
        <v>On-Time (&lt;=15m)</v>
      </c>
      <c r="I7" s="2">
        <f t="shared" si="3"/>
        <v>0</v>
      </c>
      <c r="J7" s="2">
        <f t="shared" si="4"/>
        <v>0</v>
      </c>
      <c r="K7" s="2">
        <v>11.0</v>
      </c>
      <c r="L7" s="2" t="s">
        <v>25</v>
      </c>
      <c r="M7" s="2">
        <v>11.0</v>
      </c>
      <c r="N7" s="2">
        <v>0.0</v>
      </c>
      <c r="O7" s="4">
        <v>1.0</v>
      </c>
      <c r="P7" s="6">
        <v>0.0</v>
      </c>
      <c r="Q7" s="2" t="s">
        <v>26</v>
      </c>
      <c r="R7" s="2" t="s">
        <v>27</v>
      </c>
      <c r="S7" s="2" t="s">
        <v>27</v>
      </c>
      <c r="T7" s="2" t="s">
        <v>28</v>
      </c>
      <c r="U7" s="2">
        <v>6.0</v>
      </c>
    </row>
    <row r="8">
      <c r="A8" s="1" t="s">
        <v>39</v>
      </c>
      <c r="B8" s="3">
        <v>46282.0</v>
      </c>
      <c r="C8" s="1" t="s">
        <v>81</v>
      </c>
      <c r="D8" s="2" t="s">
        <v>23</v>
      </c>
      <c r="E8" s="2" t="s">
        <v>24</v>
      </c>
      <c r="F8" s="2">
        <v>11.0</v>
      </c>
      <c r="G8" s="2">
        <f t="shared" si="1"/>
        <v>11</v>
      </c>
      <c r="H8" s="2" t="str">
        <f t="shared" si="2"/>
        <v>On-Time (&lt;=15m)</v>
      </c>
      <c r="I8" s="2">
        <f t="shared" si="3"/>
        <v>0</v>
      </c>
      <c r="J8" s="2">
        <f t="shared" si="4"/>
        <v>0</v>
      </c>
      <c r="K8" s="2">
        <v>11.0</v>
      </c>
      <c r="L8" s="2" t="s">
        <v>25</v>
      </c>
      <c r="M8" s="2">
        <v>11.0</v>
      </c>
      <c r="N8" s="2">
        <v>0.0</v>
      </c>
      <c r="O8" s="4">
        <v>1.0</v>
      </c>
      <c r="P8" s="6">
        <v>0.0</v>
      </c>
      <c r="Q8" s="2" t="s">
        <v>26</v>
      </c>
      <c r="R8" s="2" t="s">
        <v>27</v>
      </c>
      <c r="S8" s="2" t="s">
        <v>27</v>
      </c>
      <c r="T8" s="2" t="s">
        <v>28</v>
      </c>
      <c r="U8" s="2">
        <v>7.0</v>
      </c>
    </row>
    <row r="9">
      <c r="A9" s="1" t="s">
        <v>40</v>
      </c>
      <c r="B9" s="3">
        <v>46282.0</v>
      </c>
      <c r="C9" s="1" t="s">
        <v>81</v>
      </c>
      <c r="D9" s="2" t="s">
        <v>23</v>
      </c>
      <c r="E9" s="2" t="s">
        <v>31</v>
      </c>
      <c r="F9" s="2">
        <v>8.0</v>
      </c>
      <c r="G9" s="2">
        <f t="shared" si="1"/>
        <v>8</v>
      </c>
      <c r="H9" s="2" t="str">
        <f t="shared" si="2"/>
        <v>On-Time (&lt;=15m)</v>
      </c>
      <c r="I9" s="2">
        <f t="shared" si="3"/>
        <v>0</v>
      </c>
      <c r="J9" s="2">
        <f t="shared" si="4"/>
        <v>0</v>
      </c>
      <c r="K9" s="2">
        <v>11.0</v>
      </c>
      <c r="L9" s="2" t="s">
        <v>32</v>
      </c>
      <c r="M9" s="2">
        <v>11.0</v>
      </c>
      <c r="N9" s="2">
        <v>0.0</v>
      </c>
      <c r="O9" s="4">
        <v>1.0</v>
      </c>
      <c r="P9" s="6">
        <v>0.0</v>
      </c>
      <c r="Q9" s="2" t="s">
        <v>26</v>
      </c>
      <c r="R9" s="2" t="s">
        <v>27</v>
      </c>
      <c r="S9" s="2" t="s">
        <v>27</v>
      </c>
      <c r="T9" s="2" t="s">
        <v>28</v>
      </c>
      <c r="U9" s="2">
        <v>8.0</v>
      </c>
    </row>
    <row r="10">
      <c r="A10" s="1" t="s">
        <v>41</v>
      </c>
      <c r="B10" s="3">
        <v>46282.0</v>
      </c>
      <c r="C10" s="1" t="s">
        <v>81</v>
      </c>
      <c r="D10" s="2" t="s">
        <v>23</v>
      </c>
      <c r="E10" s="2" t="s">
        <v>35</v>
      </c>
      <c r="F10" s="2">
        <v>11.0</v>
      </c>
      <c r="G10" s="2">
        <f t="shared" si="1"/>
        <v>11</v>
      </c>
      <c r="H10" s="2" t="str">
        <f t="shared" si="2"/>
        <v>On-Time (&lt;=15m)</v>
      </c>
      <c r="I10" s="2">
        <f t="shared" si="3"/>
        <v>0</v>
      </c>
      <c r="J10" s="2">
        <f t="shared" si="4"/>
        <v>0</v>
      </c>
      <c r="K10" s="2">
        <v>11.0</v>
      </c>
      <c r="L10" s="2" t="s">
        <v>25</v>
      </c>
      <c r="M10" s="2">
        <v>11.0</v>
      </c>
      <c r="N10" s="2">
        <v>0.0</v>
      </c>
      <c r="O10" s="4">
        <v>1.0</v>
      </c>
      <c r="P10" s="6">
        <v>0.0</v>
      </c>
      <c r="Q10" s="2" t="s">
        <v>26</v>
      </c>
      <c r="R10" s="2" t="s">
        <v>27</v>
      </c>
      <c r="S10" s="2" t="s">
        <v>27</v>
      </c>
      <c r="T10" s="2" t="s">
        <v>28</v>
      </c>
      <c r="U10" s="2">
        <v>9.0</v>
      </c>
    </row>
    <row r="11">
      <c r="A11" s="1" t="s">
        <v>42</v>
      </c>
      <c r="B11" s="3">
        <v>46282.0</v>
      </c>
      <c r="C11" s="1" t="s">
        <v>94</v>
      </c>
      <c r="D11" s="2" t="s">
        <v>23</v>
      </c>
      <c r="E11" s="2" t="s">
        <v>24</v>
      </c>
      <c r="F11" s="2">
        <v>14.0</v>
      </c>
      <c r="G11" s="2">
        <f t="shared" si="1"/>
        <v>14</v>
      </c>
      <c r="H11" s="2" t="str">
        <f t="shared" si="2"/>
        <v>On-Time (&lt;=15m)</v>
      </c>
      <c r="I11" s="2">
        <f t="shared" si="3"/>
        <v>0</v>
      </c>
      <c r="J11" s="2">
        <f t="shared" si="4"/>
        <v>0</v>
      </c>
      <c r="K11" s="2">
        <v>11.0</v>
      </c>
      <c r="L11" s="2" t="s">
        <v>25</v>
      </c>
      <c r="M11" s="2">
        <v>11.0</v>
      </c>
      <c r="N11" s="2">
        <v>0.0</v>
      </c>
      <c r="O11" s="4">
        <v>1.0</v>
      </c>
      <c r="P11" s="6">
        <v>0.0</v>
      </c>
      <c r="Q11" s="2" t="s">
        <v>26</v>
      </c>
      <c r="R11" s="2" t="s">
        <v>27</v>
      </c>
      <c r="S11" s="2" t="s">
        <v>27</v>
      </c>
      <c r="T11" s="2" t="s">
        <v>28</v>
      </c>
      <c r="U11" s="2">
        <v>10.0</v>
      </c>
    </row>
    <row r="12">
      <c r="A12" s="1" t="s">
        <v>43</v>
      </c>
      <c r="B12" s="3">
        <v>46282.0</v>
      </c>
      <c r="C12" s="1" t="s">
        <v>94</v>
      </c>
      <c r="D12" s="2" t="s">
        <v>23</v>
      </c>
      <c r="E12" s="2" t="s">
        <v>31</v>
      </c>
      <c r="F12" s="2">
        <v>8.0</v>
      </c>
      <c r="G12" s="2">
        <f t="shared" si="1"/>
        <v>8</v>
      </c>
      <c r="H12" s="2" t="str">
        <f t="shared" si="2"/>
        <v>On-Time (&lt;=15m)</v>
      </c>
      <c r="I12" s="2">
        <f t="shared" si="3"/>
        <v>0</v>
      </c>
      <c r="J12" s="2">
        <f t="shared" si="4"/>
        <v>0</v>
      </c>
      <c r="K12" s="2">
        <v>11.0</v>
      </c>
      <c r="L12" s="2" t="s">
        <v>32</v>
      </c>
      <c r="M12" s="2">
        <v>11.0</v>
      </c>
      <c r="N12" s="2">
        <v>0.0</v>
      </c>
      <c r="O12" s="4">
        <v>1.0</v>
      </c>
      <c r="P12" s="6">
        <v>0.0</v>
      </c>
      <c r="Q12" s="2" t="s">
        <v>26</v>
      </c>
      <c r="R12" s="2" t="s">
        <v>27</v>
      </c>
      <c r="S12" s="2" t="s">
        <v>27</v>
      </c>
      <c r="T12" s="2" t="s">
        <v>28</v>
      </c>
      <c r="U12" s="2">
        <v>11.0</v>
      </c>
    </row>
    <row r="13">
      <c r="A13" s="1" t="s">
        <v>44</v>
      </c>
      <c r="B13" s="3">
        <v>46282.0</v>
      </c>
      <c r="C13" s="1" t="s">
        <v>94</v>
      </c>
      <c r="D13" s="2" t="s">
        <v>23</v>
      </c>
      <c r="E13" s="2" t="s">
        <v>35</v>
      </c>
      <c r="F13" s="2">
        <v>11.0</v>
      </c>
      <c r="G13" s="2">
        <f t="shared" si="1"/>
        <v>11</v>
      </c>
      <c r="H13" s="2" t="str">
        <f t="shared" si="2"/>
        <v>On-Time (&lt;=15m)</v>
      </c>
      <c r="I13" s="2">
        <f t="shared" si="3"/>
        <v>0</v>
      </c>
      <c r="J13" s="2">
        <f t="shared" si="4"/>
        <v>0</v>
      </c>
      <c r="K13" s="2">
        <v>11.0</v>
      </c>
      <c r="L13" s="2" t="s">
        <v>25</v>
      </c>
      <c r="M13" s="2">
        <v>11.0</v>
      </c>
      <c r="N13" s="2">
        <v>0.0</v>
      </c>
      <c r="O13" s="4">
        <v>1.0</v>
      </c>
      <c r="P13" s="6">
        <v>0.0</v>
      </c>
      <c r="Q13" s="2" t="s">
        <v>26</v>
      </c>
      <c r="R13" s="2" t="s">
        <v>27</v>
      </c>
      <c r="S13" s="2" t="s">
        <v>27</v>
      </c>
      <c r="T13" s="2" t="s">
        <v>28</v>
      </c>
      <c r="U13" s="2">
        <v>12.0</v>
      </c>
    </row>
    <row r="14">
      <c r="A14" s="1" t="s">
        <v>45</v>
      </c>
      <c r="B14" s="3">
        <v>46282.0</v>
      </c>
      <c r="C14" s="1" t="s">
        <v>113</v>
      </c>
      <c r="D14" s="2" t="s">
        <v>23</v>
      </c>
      <c r="E14" s="2" t="s">
        <v>24</v>
      </c>
      <c r="F14" s="2">
        <v>15.0</v>
      </c>
      <c r="G14" s="2">
        <f t="shared" si="1"/>
        <v>15</v>
      </c>
      <c r="H14" s="2" t="str">
        <f t="shared" si="2"/>
        <v>On-Time (&lt;=15m)</v>
      </c>
      <c r="I14" s="2">
        <f t="shared" si="3"/>
        <v>0</v>
      </c>
      <c r="J14" s="2">
        <f t="shared" si="4"/>
        <v>0</v>
      </c>
      <c r="K14" s="2">
        <v>11.0</v>
      </c>
      <c r="L14" s="2" t="s">
        <v>25</v>
      </c>
      <c r="M14" s="2">
        <v>11.0</v>
      </c>
      <c r="N14" s="2">
        <v>0.0</v>
      </c>
      <c r="O14" s="4">
        <v>1.0</v>
      </c>
      <c r="P14" s="6">
        <v>0.0</v>
      </c>
      <c r="Q14" s="2" t="s">
        <v>26</v>
      </c>
      <c r="R14" s="2" t="s">
        <v>27</v>
      </c>
      <c r="S14" s="2" t="s">
        <v>27</v>
      </c>
      <c r="T14" s="2" t="s">
        <v>28</v>
      </c>
      <c r="U14" s="2">
        <v>13.0</v>
      </c>
    </row>
    <row r="15">
      <c r="A15" s="1" t="s">
        <v>46</v>
      </c>
      <c r="B15" s="3">
        <v>46282.0</v>
      </c>
      <c r="C15" s="1" t="s">
        <v>113</v>
      </c>
      <c r="D15" s="2" t="s">
        <v>23</v>
      </c>
      <c r="E15" s="2" t="s">
        <v>31</v>
      </c>
      <c r="F15" s="2">
        <v>8.0</v>
      </c>
      <c r="G15" s="2">
        <f t="shared" si="1"/>
        <v>8</v>
      </c>
      <c r="H15" s="2" t="str">
        <f t="shared" si="2"/>
        <v>On-Time (&lt;=15m)</v>
      </c>
      <c r="I15" s="2">
        <f t="shared" si="3"/>
        <v>0</v>
      </c>
      <c r="J15" s="2">
        <f t="shared" si="4"/>
        <v>0</v>
      </c>
      <c r="K15" s="2">
        <v>11.0</v>
      </c>
      <c r="L15" s="2" t="s">
        <v>32</v>
      </c>
      <c r="M15" s="2">
        <v>11.0</v>
      </c>
      <c r="N15" s="2">
        <v>0.0</v>
      </c>
      <c r="O15" s="4">
        <v>1.0</v>
      </c>
      <c r="P15" s="6">
        <v>0.0</v>
      </c>
      <c r="Q15" s="2" t="s">
        <v>26</v>
      </c>
      <c r="R15" s="2" t="s">
        <v>27</v>
      </c>
      <c r="S15" s="2" t="s">
        <v>27</v>
      </c>
      <c r="T15" s="2" t="s">
        <v>28</v>
      </c>
      <c r="U15" s="2">
        <v>14.0</v>
      </c>
    </row>
    <row r="16">
      <c r="A16" s="1" t="s">
        <v>47</v>
      </c>
      <c r="B16" s="3">
        <v>46282.0</v>
      </c>
      <c r="C16" s="1" t="s">
        <v>113</v>
      </c>
      <c r="D16" s="2" t="s">
        <v>23</v>
      </c>
      <c r="E16" s="2" t="s">
        <v>35</v>
      </c>
      <c r="F16" s="2">
        <v>16.0</v>
      </c>
      <c r="G16" s="2">
        <f t="shared" si="1"/>
        <v>16</v>
      </c>
      <c r="H16" s="2" t="str">
        <f t="shared" si="2"/>
        <v>Moderate (16-20m)</v>
      </c>
      <c r="I16" s="2">
        <f t="shared" si="3"/>
        <v>0</v>
      </c>
      <c r="J16" s="2">
        <f t="shared" si="4"/>
        <v>0</v>
      </c>
      <c r="K16" s="2">
        <v>11.0</v>
      </c>
      <c r="L16" s="2" t="s">
        <v>25</v>
      </c>
      <c r="M16" s="2">
        <v>11.0</v>
      </c>
      <c r="N16" s="2">
        <v>0.0</v>
      </c>
      <c r="O16" s="4">
        <v>1.0</v>
      </c>
      <c r="P16" s="6">
        <v>0.0</v>
      </c>
      <c r="Q16" s="2" t="s">
        <v>26</v>
      </c>
      <c r="R16" s="2" t="s">
        <v>27</v>
      </c>
      <c r="S16" s="2" t="s">
        <v>27</v>
      </c>
      <c r="T16" s="2" t="s">
        <v>28</v>
      </c>
      <c r="U16" s="2">
        <v>15.0</v>
      </c>
    </row>
    <row r="17">
      <c r="A17" s="1" t="s">
        <v>48</v>
      </c>
      <c r="B17" s="3">
        <v>46282.0</v>
      </c>
      <c r="C17" s="1" t="s">
        <v>120</v>
      </c>
      <c r="D17" s="2" t="s">
        <v>23</v>
      </c>
      <c r="E17" s="2" t="s">
        <v>24</v>
      </c>
      <c r="F17" s="2">
        <v>18.0</v>
      </c>
      <c r="G17" s="2">
        <f t="shared" si="1"/>
        <v>18</v>
      </c>
      <c r="H17" s="2" t="str">
        <f t="shared" si="2"/>
        <v>Moderate (16-20m)</v>
      </c>
      <c r="I17" s="2">
        <f t="shared" si="3"/>
        <v>0</v>
      </c>
      <c r="J17" s="2">
        <f t="shared" si="4"/>
        <v>0</v>
      </c>
      <c r="K17" s="2">
        <v>11.0</v>
      </c>
      <c r="L17" s="2" t="s">
        <v>25</v>
      </c>
      <c r="M17" s="2">
        <v>11.0</v>
      </c>
      <c r="N17" s="2">
        <v>0.0</v>
      </c>
      <c r="O17" s="4">
        <v>1.0</v>
      </c>
      <c r="P17" s="6">
        <v>0.0</v>
      </c>
      <c r="Q17" s="2" t="s">
        <v>26</v>
      </c>
      <c r="R17" s="2" t="s">
        <v>27</v>
      </c>
      <c r="S17" s="2" t="s">
        <v>27</v>
      </c>
      <c r="T17" s="2" t="s">
        <v>28</v>
      </c>
      <c r="U17" s="2">
        <v>16.0</v>
      </c>
    </row>
    <row r="18">
      <c r="A18" s="1" t="s">
        <v>49</v>
      </c>
      <c r="B18" s="3">
        <v>46282.0</v>
      </c>
      <c r="C18" s="1" t="s">
        <v>120</v>
      </c>
      <c r="D18" s="2" t="s">
        <v>23</v>
      </c>
      <c r="E18" s="2" t="s">
        <v>31</v>
      </c>
      <c r="F18" s="2">
        <v>10.0</v>
      </c>
      <c r="G18" s="2">
        <f t="shared" si="1"/>
        <v>10</v>
      </c>
      <c r="H18" s="2" t="str">
        <f t="shared" si="2"/>
        <v>On-Time (&lt;=15m)</v>
      </c>
      <c r="I18" s="2">
        <f t="shared" si="3"/>
        <v>0</v>
      </c>
      <c r="J18" s="2">
        <f t="shared" si="4"/>
        <v>0</v>
      </c>
      <c r="K18" s="2">
        <v>11.0</v>
      </c>
      <c r="L18" s="2" t="s">
        <v>32</v>
      </c>
      <c r="M18" s="2">
        <v>11.0</v>
      </c>
      <c r="N18" s="2">
        <v>0.0</v>
      </c>
      <c r="O18" s="4">
        <v>1.0</v>
      </c>
      <c r="P18" s="6">
        <v>0.0</v>
      </c>
      <c r="Q18" s="2" t="s">
        <v>26</v>
      </c>
      <c r="R18" s="2" t="s">
        <v>27</v>
      </c>
      <c r="S18" s="2" t="s">
        <v>27</v>
      </c>
      <c r="T18" s="2" t="s">
        <v>28</v>
      </c>
      <c r="U18" s="2">
        <v>17.0</v>
      </c>
    </row>
    <row r="19">
      <c r="A19" s="1" t="s">
        <v>50</v>
      </c>
      <c r="B19" s="3">
        <v>46282.0</v>
      </c>
      <c r="C19" s="1" t="s">
        <v>120</v>
      </c>
      <c r="D19" s="2" t="s">
        <v>23</v>
      </c>
      <c r="E19" s="2" t="s">
        <v>35</v>
      </c>
      <c r="F19" s="2">
        <v>16.0</v>
      </c>
      <c r="G19" s="2">
        <f t="shared" si="1"/>
        <v>16</v>
      </c>
      <c r="H19" s="2" t="str">
        <f t="shared" si="2"/>
        <v>Moderate (16-20m)</v>
      </c>
      <c r="I19" s="2">
        <f t="shared" si="3"/>
        <v>0</v>
      </c>
      <c r="J19" s="2">
        <f t="shared" si="4"/>
        <v>0</v>
      </c>
      <c r="K19" s="2">
        <v>11.0</v>
      </c>
      <c r="L19" s="2" t="s">
        <v>25</v>
      </c>
      <c r="M19" s="2">
        <v>11.0</v>
      </c>
      <c r="N19" s="2">
        <v>0.0</v>
      </c>
      <c r="O19" s="4">
        <v>1.0</v>
      </c>
      <c r="P19" s="6">
        <v>0.0</v>
      </c>
      <c r="Q19" s="2" t="s">
        <v>26</v>
      </c>
      <c r="R19" s="2" t="s">
        <v>27</v>
      </c>
      <c r="S19" s="2" t="s">
        <v>27</v>
      </c>
      <c r="T19" s="2" t="s">
        <v>28</v>
      </c>
      <c r="U19" s="2">
        <v>18.0</v>
      </c>
    </row>
    <row r="20">
      <c r="A20" s="1" t="s">
        <v>51</v>
      </c>
      <c r="B20" s="3">
        <v>46282.0</v>
      </c>
      <c r="C20" s="1" t="s">
        <v>121</v>
      </c>
      <c r="D20" s="2" t="s">
        <v>23</v>
      </c>
      <c r="E20" s="2" t="s">
        <v>24</v>
      </c>
      <c r="F20" s="2">
        <v>17.0</v>
      </c>
      <c r="G20" s="2">
        <f t="shared" si="1"/>
        <v>17</v>
      </c>
      <c r="H20" s="2" t="str">
        <f t="shared" si="2"/>
        <v>Moderate (16-20m)</v>
      </c>
      <c r="I20" s="2">
        <f t="shared" si="3"/>
        <v>0</v>
      </c>
      <c r="J20" s="2">
        <f t="shared" si="4"/>
        <v>0</v>
      </c>
      <c r="K20" s="2">
        <v>11.0</v>
      </c>
      <c r="L20" s="2" t="s">
        <v>25</v>
      </c>
      <c r="M20" s="2">
        <v>11.0</v>
      </c>
      <c r="N20" s="2">
        <v>0.0</v>
      </c>
      <c r="O20" s="4">
        <v>1.0</v>
      </c>
      <c r="P20" s="6">
        <v>0.0</v>
      </c>
      <c r="Q20" s="2" t="s">
        <v>26</v>
      </c>
      <c r="R20" s="2" t="s">
        <v>27</v>
      </c>
      <c r="S20" s="2" t="s">
        <v>27</v>
      </c>
      <c r="T20" s="2" t="s">
        <v>28</v>
      </c>
      <c r="U20" s="2">
        <v>19.0</v>
      </c>
    </row>
    <row r="21">
      <c r="A21" s="1" t="s">
        <v>52</v>
      </c>
      <c r="B21" s="3">
        <v>46282.0</v>
      </c>
      <c r="C21" s="1" t="s">
        <v>121</v>
      </c>
      <c r="D21" s="2" t="s">
        <v>23</v>
      </c>
      <c r="E21" s="2" t="s">
        <v>31</v>
      </c>
      <c r="F21" s="2">
        <v>8.0</v>
      </c>
      <c r="G21" s="2">
        <f t="shared" si="1"/>
        <v>8</v>
      </c>
      <c r="H21" s="2" t="str">
        <f t="shared" si="2"/>
        <v>On-Time (&lt;=15m)</v>
      </c>
      <c r="I21" s="2">
        <f t="shared" si="3"/>
        <v>0</v>
      </c>
      <c r="J21" s="2">
        <f t="shared" si="4"/>
        <v>0</v>
      </c>
      <c r="K21" s="2">
        <v>11.0</v>
      </c>
      <c r="L21" s="2" t="s">
        <v>32</v>
      </c>
      <c r="M21" s="2">
        <v>11.0</v>
      </c>
      <c r="N21" s="2">
        <v>0.0</v>
      </c>
      <c r="O21" s="4">
        <v>1.0</v>
      </c>
      <c r="P21" s="6">
        <v>0.0</v>
      </c>
      <c r="Q21" s="2" t="s">
        <v>26</v>
      </c>
      <c r="R21" s="2" t="s">
        <v>27</v>
      </c>
      <c r="S21" s="2" t="s">
        <v>27</v>
      </c>
      <c r="T21" s="2" t="s">
        <v>28</v>
      </c>
      <c r="U21" s="2">
        <v>20.0</v>
      </c>
    </row>
    <row r="22">
      <c r="A22" s="1" t="s">
        <v>53</v>
      </c>
      <c r="B22" s="3">
        <v>46282.0</v>
      </c>
      <c r="C22" s="1" t="s">
        <v>121</v>
      </c>
      <c r="D22" s="2" t="s">
        <v>23</v>
      </c>
      <c r="E22" s="2" t="s">
        <v>35</v>
      </c>
      <c r="F22" s="2">
        <v>23.0</v>
      </c>
      <c r="G22" s="2">
        <f t="shared" si="1"/>
        <v>23</v>
      </c>
      <c r="H22" s="2" t="str">
        <f t="shared" si="2"/>
        <v>SLA Breach (&gt;20m)</v>
      </c>
      <c r="I22" s="2">
        <f t="shared" si="3"/>
        <v>0</v>
      </c>
      <c r="J22" s="2">
        <f t="shared" si="4"/>
        <v>0</v>
      </c>
      <c r="K22" s="2">
        <v>11.0</v>
      </c>
      <c r="L22" s="2" t="s">
        <v>25</v>
      </c>
      <c r="M22" s="2">
        <v>11.0</v>
      </c>
      <c r="N22" s="2">
        <v>0.0</v>
      </c>
      <c r="O22" s="4">
        <v>1.0</v>
      </c>
      <c r="P22" s="6">
        <v>0.0</v>
      </c>
      <c r="Q22" s="2" t="s">
        <v>26</v>
      </c>
      <c r="R22" s="2" t="s">
        <v>27</v>
      </c>
      <c r="S22" s="2" t="s">
        <v>27</v>
      </c>
      <c r="T22" s="2" t="s">
        <v>28</v>
      </c>
      <c r="U22" s="2">
        <v>21.0</v>
      </c>
    </row>
    <row r="23">
      <c r="A23" s="1" t="s">
        <v>54</v>
      </c>
      <c r="B23" s="3">
        <v>46282.0</v>
      </c>
      <c r="C23" s="1" t="s">
        <v>122</v>
      </c>
      <c r="D23" s="2" t="s">
        <v>23</v>
      </c>
      <c r="E23" s="2" t="s">
        <v>24</v>
      </c>
      <c r="F23" s="2">
        <v>22.0</v>
      </c>
      <c r="G23" s="2">
        <f t="shared" si="1"/>
        <v>22</v>
      </c>
      <c r="H23" s="2" t="str">
        <f t="shared" si="2"/>
        <v>SLA Breach (&gt;20m)</v>
      </c>
      <c r="I23" s="2">
        <f t="shared" si="3"/>
        <v>0</v>
      </c>
      <c r="J23" s="2">
        <f t="shared" si="4"/>
        <v>0</v>
      </c>
      <c r="K23" s="2">
        <v>11.0</v>
      </c>
      <c r="L23" s="2" t="s">
        <v>25</v>
      </c>
      <c r="M23" s="2">
        <v>11.0</v>
      </c>
      <c r="N23" s="2">
        <v>0.0</v>
      </c>
      <c r="O23" s="4">
        <v>1.0</v>
      </c>
      <c r="P23" s="6">
        <v>0.0</v>
      </c>
      <c r="Q23" s="2" t="s">
        <v>26</v>
      </c>
      <c r="R23" s="2" t="s">
        <v>27</v>
      </c>
      <c r="S23" s="2" t="s">
        <v>27</v>
      </c>
      <c r="T23" s="2" t="s">
        <v>28</v>
      </c>
      <c r="U23" s="2">
        <v>22.0</v>
      </c>
    </row>
    <row r="24">
      <c r="A24" s="1" t="s">
        <v>55</v>
      </c>
      <c r="B24" s="3">
        <v>46282.0</v>
      </c>
      <c r="C24" s="1" t="s">
        <v>122</v>
      </c>
      <c r="D24" s="2" t="s">
        <v>23</v>
      </c>
      <c r="E24" s="2" t="s">
        <v>31</v>
      </c>
      <c r="F24" s="2">
        <v>8.0</v>
      </c>
      <c r="G24" s="2">
        <f t="shared" si="1"/>
        <v>8</v>
      </c>
      <c r="H24" s="2" t="str">
        <f t="shared" si="2"/>
        <v>On-Time (&lt;=15m)</v>
      </c>
      <c r="I24" s="2">
        <f t="shared" si="3"/>
        <v>0</v>
      </c>
      <c r="J24" s="2">
        <f t="shared" si="4"/>
        <v>0</v>
      </c>
      <c r="K24" s="2">
        <v>11.0</v>
      </c>
      <c r="L24" s="2" t="s">
        <v>32</v>
      </c>
      <c r="M24" s="2">
        <v>11.0</v>
      </c>
      <c r="N24" s="2">
        <v>0.0</v>
      </c>
      <c r="O24" s="4">
        <v>1.0</v>
      </c>
      <c r="P24" s="6">
        <v>0.0</v>
      </c>
      <c r="Q24" s="2" t="s">
        <v>26</v>
      </c>
      <c r="R24" s="2" t="s">
        <v>27</v>
      </c>
      <c r="S24" s="2" t="s">
        <v>27</v>
      </c>
      <c r="T24" s="2" t="s">
        <v>28</v>
      </c>
      <c r="U24" s="2">
        <v>23.0</v>
      </c>
    </row>
    <row r="25">
      <c r="A25" s="1" t="s">
        <v>56</v>
      </c>
      <c r="B25" s="3">
        <v>46282.0</v>
      </c>
      <c r="C25" s="1" t="s">
        <v>122</v>
      </c>
      <c r="D25" s="2" t="s">
        <v>23</v>
      </c>
      <c r="E25" s="2" t="s">
        <v>35</v>
      </c>
      <c r="F25" s="2">
        <v>20.0</v>
      </c>
      <c r="G25" s="2">
        <f t="shared" si="1"/>
        <v>20</v>
      </c>
      <c r="H25" s="2" t="str">
        <f t="shared" si="2"/>
        <v>Moderate (16-20m)</v>
      </c>
      <c r="I25" s="2">
        <f t="shared" si="3"/>
        <v>0</v>
      </c>
      <c r="J25" s="2">
        <f t="shared" si="4"/>
        <v>0</v>
      </c>
      <c r="K25" s="2">
        <v>11.0</v>
      </c>
      <c r="L25" s="2" t="s">
        <v>25</v>
      </c>
      <c r="M25" s="2">
        <v>11.0</v>
      </c>
      <c r="N25" s="2">
        <v>0.0</v>
      </c>
      <c r="O25" s="4">
        <v>1.0</v>
      </c>
      <c r="P25" s="6">
        <v>0.0</v>
      </c>
      <c r="Q25" s="2" t="s">
        <v>26</v>
      </c>
      <c r="R25" s="2" t="s">
        <v>27</v>
      </c>
      <c r="S25" s="2" t="s">
        <v>27</v>
      </c>
      <c r="T25" s="2" t="s">
        <v>28</v>
      </c>
      <c r="U25" s="2">
        <v>24.0</v>
      </c>
    </row>
    <row r="26">
      <c r="A26" s="1" t="s">
        <v>57</v>
      </c>
      <c r="B26" s="3">
        <v>46282.0</v>
      </c>
      <c r="C26" s="1" t="s">
        <v>123</v>
      </c>
      <c r="D26" s="2" t="s">
        <v>23</v>
      </c>
      <c r="E26" s="2" t="s">
        <v>24</v>
      </c>
      <c r="F26" s="2">
        <v>22.0</v>
      </c>
      <c r="G26" s="2">
        <f t="shared" si="1"/>
        <v>22</v>
      </c>
      <c r="H26" s="2" t="str">
        <f t="shared" si="2"/>
        <v>SLA Breach (&gt;20m)</v>
      </c>
      <c r="I26" s="2">
        <f t="shared" si="3"/>
        <v>0</v>
      </c>
      <c r="J26" s="2">
        <f t="shared" si="4"/>
        <v>0</v>
      </c>
      <c r="K26" s="2">
        <v>11.0</v>
      </c>
      <c r="L26" s="2" t="s">
        <v>25</v>
      </c>
      <c r="M26" s="2">
        <v>11.0</v>
      </c>
      <c r="N26" s="2">
        <v>0.0</v>
      </c>
      <c r="O26" s="4">
        <v>1.0</v>
      </c>
      <c r="P26" s="6">
        <v>0.0</v>
      </c>
      <c r="Q26" s="2" t="s">
        <v>26</v>
      </c>
      <c r="R26" s="2" t="s">
        <v>27</v>
      </c>
      <c r="S26" s="2" t="s">
        <v>27</v>
      </c>
      <c r="T26" s="2" t="s">
        <v>28</v>
      </c>
      <c r="U26" s="2">
        <v>25.0</v>
      </c>
    </row>
    <row r="27">
      <c r="A27" s="1" t="s">
        <v>58</v>
      </c>
      <c r="B27" s="3">
        <v>46282.0</v>
      </c>
      <c r="C27" s="1" t="s">
        <v>123</v>
      </c>
      <c r="D27" s="2" t="s">
        <v>23</v>
      </c>
      <c r="E27" s="2" t="s">
        <v>31</v>
      </c>
      <c r="F27" s="2">
        <v>12.0</v>
      </c>
      <c r="G27" s="2">
        <f t="shared" si="1"/>
        <v>12</v>
      </c>
      <c r="H27" s="2" t="str">
        <f t="shared" si="2"/>
        <v>On-Time (&lt;=15m)</v>
      </c>
      <c r="I27" s="2">
        <f t="shared" si="3"/>
        <v>0</v>
      </c>
      <c r="J27" s="2">
        <f t="shared" si="4"/>
        <v>0</v>
      </c>
      <c r="K27" s="2">
        <v>11.0</v>
      </c>
      <c r="L27" s="2" t="s">
        <v>32</v>
      </c>
      <c r="M27" s="2">
        <v>11.0</v>
      </c>
      <c r="N27" s="2">
        <v>0.0</v>
      </c>
      <c r="O27" s="4">
        <v>1.0</v>
      </c>
      <c r="P27" s="6">
        <v>0.0</v>
      </c>
      <c r="Q27" s="2" t="s">
        <v>26</v>
      </c>
      <c r="R27" s="2" t="s">
        <v>27</v>
      </c>
      <c r="S27" s="2" t="s">
        <v>27</v>
      </c>
      <c r="T27" s="2" t="s">
        <v>28</v>
      </c>
      <c r="U27" s="2">
        <v>26.0</v>
      </c>
    </row>
    <row r="28">
      <c r="A28" s="1" t="s">
        <v>59</v>
      </c>
      <c r="B28" s="3">
        <v>46282.0</v>
      </c>
      <c r="C28" s="1" t="s">
        <v>123</v>
      </c>
      <c r="D28" s="2" t="s">
        <v>23</v>
      </c>
      <c r="E28" s="2" t="s">
        <v>35</v>
      </c>
      <c r="F28" s="2">
        <v>20.0</v>
      </c>
      <c r="G28" s="2">
        <f t="shared" si="1"/>
        <v>20</v>
      </c>
      <c r="H28" s="2" t="str">
        <f t="shared" si="2"/>
        <v>Moderate (16-20m)</v>
      </c>
      <c r="I28" s="2">
        <f t="shared" si="3"/>
        <v>0</v>
      </c>
      <c r="J28" s="2">
        <f t="shared" si="4"/>
        <v>0</v>
      </c>
      <c r="K28" s="2">
        <v>11.0</v>
      </c>
      <c r="L28" s="2" t="s">
        <v>25</v>
      </c>
      <c r="M28" s="2">
        <v>11.0</v>
      </c>
      <c r="N28" s="2">
        <v>0.0</v>
      </c>
      <c r="O28" s="4">
        <v>1.0</v>
      </c>
      <c r="P28" s="6">
        <v>0.0</v>
      </c>
      <c r="Q28" s="2" t="s">
        <v>26</v>
      </c>
      <c r="R28" s="2" t="s">
        <v>27</v>
      </c>
      <c r="S28" s="2" t="s">
        <v>27</v>
      </c>
      <c r="T28" s="2" t="s">
        <v>28</v>
      </c>
      <c r="U28" s="2">
        <v>27.0</v>
      </c>
    </row>
    <row r="29">
      <c r="A29" s="1" t="s">
        <v>60</v>
      </c>
      <c r="B29" s="3">
        <v>46282.0</v>
      </c>
      <c r="C29" s="1" t="s">
        <v>124</v>
      </c>
      <c r="D29" s="2" t="s">
        <v>23</v>
      </c>
      <c r="E29" s="2" t="s">
        <v>24</v>
      </c>
      <c r="F29" s="2">
        <v>22.0</v>
      </c>
      <c r="G29" s="2">
        <f t="shared" si="1"/>
        <v>22</v>
      </c>
      <c r="H29" s="2" t="str">
        <f t="shared" si="2"/>
        <v>SLA Breach (&gt;20m)</v>
      </c>
      <c r="I29" s="2">
        <f t="shared" si="3"/>
        <v>0</v>
      </c>
      <c r="J29" s="2">
        <f t="shared" si="4"/>
        <v>0</v>
      </c>
      <c r="K29" s="2">
        <v>11.0</v>
      </c>
      <c r="L29" s="2" t="s">
        <v>25</v>
      </c>
      <c r="M29" s="2">
        <v>11.0</v>
      </c>
      <c r="N29" s="2">
        <v>0.0</v>
      </c>
      <c r="O29" s="4">
        <v>1.0</v>
      </c>
      <c r="P29" s="6">
        <v>0.0</v>
      </c>
      <c r="Q29" s="2" t="s">
        <v>26</v>
      </c>
      <c r="R29" s="2" t="s">
        <v>27</v>
      </c>
      <c r="S29" s="2" t="s">
        <v>27</v>
      </c>
      <c r="T29" s="2" t="s">
        <v>28</v>
      </c>
      <c r="U29" s="2">
        <v>28.0</v>
      </c>
    </row>
    <row r="30">
      <c r="A30" s="1" t="s">
        <v>61</v>
      </c>
      <c r="B30" s="3">
        <v>46282.0</v>
      </c>
      <c r="C30" s="1" t="s">
        <v>124</v>
      </c>
      <c r="D30" s="2" t="s">
        <v>23</v>
      </c>
      <c r="E30" s="2" t="s">
        <v>31</v>
      </c>
      <c r="F30" s="2">
        <v>10.0</v>
      </c>
      <c r="G30" s="2">
        <f t="shared" si="1"/>
        <v>10</v>
      </c>
      <c r="H30" s="2" t="str">
        <f t="shared" si="2"/>
        <v>On-Time (&lt;=15m)</v>
      </c>
      <c r="I30" s="2">
        <f t="shared" si="3"/>
        <v>0</v>
      </c>
      <c r="J30" s="2">
        <f t="shared" si="4"/>
        <v>0</v>
      </c>
      <c r="K30" s="2">
        <v>11.0</v>
      </c>
      <c r="L30" s="2" t="s">
        <v>32</v>
      </c>
      <c r="M30" s="2">
        <v>11.0</v>
      </c>
      <c r="N30" s="2">
        <v>0.0</v>
      </c>
      <c r="O30" s="4">
        <v>1.0</v>
      </c>
      <c r="P30" s="6">
        <v>0.0</v>
      </c>
      <c r="Q30" s="2" t="s">
        <v>26</v>
      </c>
      <c r="R30" s="2" t="s">
        <v>27</v>
      </c>
      <c r="S30" s="2" t="s">
        <v>27</v>
      </c>
      <c r="T30" s="2" t="s">
        <v>28</v>
      </c>
      <c r="U30" s="2">
        <v>29.0</v>
      </c>
    </row>
    <row r="31">
      <c r="A31" s="1" t="s">
        <v>62</v>
      </c>
      <c r="B31" s="3">
        <v>46282.0</v>
      </c>
      <c r="C31" s="1" t="s">
        <v>124</v>
      </c>
      <c r="D31" s="2" t="s">
        <v>23</v>
      </c>
      <c r="E31" s="2" t="s">
        <v>35</v>
      </c>
      <c r="F31" s="2">
        <v>18.0</v>
      </c>
      <c r="G31" s="2">
        <f t="shared" si="1"/>
        <v>18</v>
      </c>
      <c r="H31" s="2" t="str">
        <f t="shared" si="2"/>
        <v>Moderate (16-20m)</v>
      </c>
      <c r="I31" s="2">
        <f t="shared" si="3"/>
        <v>0</v>
      </c>
      <c r="J31" s="2">
        <f t="shared" si="4"/>
        <v>0</v>
      </c>
      <c r="K31" s="2">
        <v>11.0</v>
      </c>
      <c r="L31" s="2" t="s">
        <v>25</v>
      </c>
      <c r="M31" s="2">
        <v>11.0</v>
      </c>
      <c r="N31" s="2">
        <v>0.0</v>
      </c>
      <c r="O31" s="4">
        <v>1.0</v>
      </c>
      <c r="P31" s="6">
        <v>0.0</v>
      </c>
      <c r="Q31" s="2" t="s">
        <v>26</v>
      </c>
      <c r="R31" s="2" t="s">
        <v>27</v>
      </c>
      <c r="S31" s="2" t="s">
        <v>27</v>
      </c>
      <c r="T31" s="2" t="s">
        <v>28</v>
      </c>
      <c r="U31" s="2">
        <v>30.0</v>
      </c>
    </row>
    <row r="32">
      <c r="A32" s="1" t="s">
        <v>63</v>
      </c>
      <c r="B32" s="3">
        <v>46282.0</v>
      </c>
      <c r="C32" s="1" t="s">
        <v>125</v>
      </c>
      <c r="D32" s="2" t="s">
        <v>23</v>
      </c>
      <c r="E32" s="2" t="s">
        <v>24</v>
      </c>
      <c r="F32" s="2">
        <v>15.0</v>
      </c>
      <c r="G32" s="2">
        <f t="shared" si="1"/>
        <v>15</v>
      </c>
      <c r="H32" s="2" t="str">
        <f t="shared" si="2"/>
        <v>On-Time (&lt;=15m)</v>
      </c>
      <c r="I32" s="2">
        <f t="shared" si="3"/>
        <v>0</v>
      </c>
      <c r="J32" s="2">
        <f t="shared" si="4"/>
        <v>0</v>
      </c>
      <c r="K32" s="2">
        <v>11.0</v>
      </c>
      <c r="L32" s="2" t="s">
        <v>25</v>
      </c>
      <c r="M32" s="2">
        <v>11.0</v>
      </c>
      <c r="N32" s="2">
        <v>0.0</v>
      </c>
      <c r="O32" s="4">
        <v>1.0</v>
      </c>
      <c r="P32" s="6">
        <v>0.0</v>
      </c>
      <c r="Q32" s="2" t="s">
        <v>26</v>
      </c>
      <c r="R32" s="2" t="s">
        <v>27</v>
      </c>
      <c r="S32" s="2" t="s">
        <v>27</v>
      </c>
      <c r="T32" s="2" t="s">
        <v>28</v>
      </c>
      <c r="U32" s="2">
        <v>31.0</v>
      </c>
    </row>
    <row r="33">
      <c r="A33" s="1" t="s">
        <v>64</v>
      </c>
      <c r="B33" s="3">
        <v>46282.0</v>
      </c>
      <c r="C33" s="1" t="s">
        <v>125</v>
      </c>
      <c r="D33" s="2" t="s">
        <v>23</v>
      </c>
      <c r="E33" s="2" t="s">
        <v>31</v>
      </c>
      <c r="F33" s="2">
        <v>8.0</v>
      </c>
      <c r="G33" s="2">
        <f t="shared" si="1"/>
        <v>8</v>
      </c>
      <c r="H33" s="2" t="str">
        <f t="shared" si="2"/>
        <v>On-Time (&lt;=15m)</v>
      </c>
      <c r="I33" s="2">
        <f t="shared" si="3"/>
        <v>0</v>
      </c>
      <c r="J33" s="2">
        <f t="shared" si="4"/>
        <v>0</v>
      </c>
      <c r="K33" s="2">
        <v>11.0</v>
      </c>
      <c r="L33" s="2" t="s">
        <v>32</v>
      </c>
      <c r="M33" s="2">
        <v>11.0</v>
      </c>
      <c r="N33" s="2">
        <v>0.0</v>
      </c>
      <c r="O33" s="4">
        <v>1.0</v>
      </c>
      <c r="P33" s="6">
        <v>0.0</v>
      </c>
      <c r="Q33" s="2" t="s">
        <v>26</v>
      </c>
      <c r="R33" s="2" t="s">
        <v>27</v>
      </c>
      <c r="S33" s="2" t="s">
        <v>27</v>
      </c>
      <c r="T33" s="2" t="s">
        <v>28</v>
      </c>
      <c r="U33" s="2">
        <v>32.0</v>
      </c>
    </row>
    <row r="34">
      <c r="A34" s="1" t="s">
        <v>65</v>
      </c>
      <c r="B34" s="3">
        <v>46282.0</v>
      </c>
      <c r="C34" s="1" t="s">
        <v>125</v>
      </c>
      <c r="D34" s="2" t="s">
        <v>23</v>
      </c>
      <c r="E34" s="2" t="s">
        <v>35</v>
      </c>
      <c r="F34" s="2">
        <v>12.0</v>
      </c>
      <c r="G34" s="2">
        <f t="shared" si="1"/>
        <v>12</v>
      </c>
      <c r="H34" s="2" t="str">
        <f t="shared" si="2"/>
        <v>On-Time (&lt;=15m)</v>
      </c>
      <c r="I34" s="2">
        <f t="shared" si="3"/>
        <v>0</v>
      </c>
      <c r="J34" s="2">
        <f t="shared" si="4"/>
        <v>0</v>
      </c>
      <c r="K34" s="2">
        <v>11.0</v>
      </c>
      <c r="L34" s="2" t="s">
        <v>25</v>
      </c>
      <c r="M34" s="2">
        <v>11.0</v>
      </c>
      <c r="N34" s="2">
        <v>0.0</v>
      </c>
      <c r="O34" s="4">
        <v>1.0</v>
      </c>
      <c r="P34" s="6">
        <v>0.0</v>
      </c>
      <c r="Q34" s="2" t="s">
        <v>26</v>
      </c>
      <c r="R34" s="2" t="s">
        <v>27</v>
      </c>
      <c r="S34" s="2" t="s">
        <v>27</v>
      </c>
      <c r="T34" s="2" t="s">
        <v>28</v>
      </c>
      <c r="U34" s="2">
        <v>33.0</v>
      </c>
    </row>
    <row r="35">
      <c r="A35" s="1" t="s">
        <v>66</v>
      </c>
      <c r="B35" s="3">
        <v>46282.0</v>
      </c>
      <c r="C35" s="1" t="s">
        <v>126</v>
      </c>
      <c r="D35" s="2" t="s">
        <v>23</v>
      </c>
      <c r="E35" s="2" t="s">
        <v>24</v>
      </c>
      <c r="F35" s="2">
        <v>14.0</v>
      </c>
      <c r="G35" s="2">
        <f t="shared" si="1"/>
        <v>14</v>
      </c>
      <c r="H35" s="2" t="str">
        <f t="shared" si="2"/>
        <v>On-Time (&lt;=15m)</v>
      </c>
      <c r="I35" s="2">
        <f t="shared" si="3"/>
        <v>0</v>
      </c>
      <c r="J35" s="2">
        <f t="shared" si="4"/>
        <v>0</v>
      </c>
      <c r="K35" s="2">
        <v>11.0</v>
      </c>
      <c r="L35" s="2" t="s">
        <v>25</v>
      </c>
      <c r="M35" s="2">
        <v>11.0</v>
      </c>
      <c r="N35" s="2">
        <v>0.0</v>
      </c>
      <c r="O35" s="4">
        <v>1.0</v>
      </c>
      <c r="P35" s="6">
        <v>0.0</v>
      </c>
      <c r="Q35" s="2" t="s">
        <v>26</v>
      </c>
      <c r="R35" s="2" t="s">
        <v>27</v>
      </c>
      <c r="S35" s="2" t="s">
        <v>27</v>
      </c>
      <c r="T35" s="2" t="s">
        <v>28</v>
      </c>
      <c r="U35" s="2">
        <v>34.0</v>
      </c>
    </row>
    <row r="36">
      <c r="A36" s="1" t="s">
        <v>68</v>
      </c>
      <c r="B36" s="3">
        <v>46282.0</v>
      </c>
      <c r="C36" s="1" t="s">
        <v>126</v>
      </c>
      <c r="D36" s="2" t="s">
        <v>23</v>
      </c>
      <c r="E36" s="2" t="s">
        <v>31</v>
      </c>
      <c r="F36" s="2">
        <v>10.0</v>
      </c>
      <c r="G36" s="2">
        <f t="shared" si="1"/>
        <v>10</v>
      </c>
      <c r="H36" s="2" t="str">
        <f t="shared" si="2"/>
        <v>On-Time (&lt;=15m)</v>
      </c>
      <c r="I36" s="2">
        <f t="shared" si="3"/>
        <v>0</v>
      </c>
      <c r="J36" s="2">
        <f t="shared" si="4"/>
        <v>0</v>
      </c>
      <c r="K36" s="2">
        <v>11.0</v>
      </c>
      <c r="L36" s="2" t="s">
        <v>32</v>
      </c>
      <c r="M36" s="2">
        <v>11.0</v>
      </c>
      <c r="N36" s="2">
        <v>0.0</v>
      </c>
      <c r="O36" s="4">
        <v>1.0</v>
      </c>
      <c r="P36" s="6">
        <v>0.0</v>
      </c>
      <c r="Q36" s="2" t="s">
        <v>26</v>
      </c>
      <c r="R36" s="2" t="s">
        <v>27</v>
      </c>
      <c r="S36" s="2" t="s">
        <v>27</v>
      </c>
      <c r="T36" s="2" t="s">
        <v>28</v>
      </c>
      <c r="U36" s="2">
        <v>35.0</v>
      </c>
    </row>
    <row r="37">
      <c r="A37" s="1" t="s">
        <v>69</v>
      </c>
      <c r="B37" s="3">
        <v>46282.0</v>
      </c>
      <c r="C37" s="1" t="s">
        <v>126</v>
      </c>
      <c r="D37" s="2" t="s">
        <v>23</v>
      </c>
      <c r="E37" s="2" t="s">
        <v>35</v>
      </c>
      <c r="F37" s="2">
        <v>13.0</v>
      </c>
      <c r="G37" s="2">
        <f t="shared" si="1"/>
        <v>13</v>
      </c>
      <c r="H37" s="2" t="str">
        <f t="shared" si="2"/>
        <v>On-Time (&lt;=15m)</v>
      </c>
      <c r="I37" s="2">
        <f t="shared" si="3"/>
        <v>0</v>
      </c>
      <c r="J37" s="2">
        <f t="shared" si="4"/>
        <v>0</v>
      </c>
      <c r="K37" s="2">
        <v>11.0</v>
      </c>
      <c r="L37" s="2" t="s">
        <v>25</v>
      </c>
      <c r="M37" s="2">
        <v>11.0</v>
      </c>
      <c r="N37" s="2">
        <v>0.0</v>
      </c>
      <c r="O37" s="4">
        <v>1.0</v>
      </c>
      <c r="P37" s="6">
        <v>0.0</v>
      </c>
      <c r="Q37" s="2" t="s">
        <v>26</v>
      </c>
      <c r="R37" s="2" t="s">
        <v>27</v>
      </c>
      <c r="S37" s="2" t="s">
        <v>27</v>
      </c>
      <c r="T37" s="2" t="s">
        <v>28</v>
      </c>
      <c r="U37" s="2">
        <v>36.0</v>
      </c>
    </row>
    <row r="38">
      <c r="A38" s="1" t="s">
        <v>70</v>
      </c>
      <c r="B38" s="3">
        <v>46282.0</v>
      </c>
      <c r="C38" s="1" t="s">
        <v>127</v>
      </c>
      <c r="D38" s="2" t="s">
        <v>23</v>
      </c>
      <c r="E38" s="2" t="s">
        <v>24</v>
      </c>
      <c r="F38" s="2">
        <v>16.0</v>
      </c>
      <c r="G38" s="2">
        <f t="shared" si="1"/>
        <v>16</v>
      </c>
      <c r="H38" s="2" t="str">
        <f t="shared" si="2"/>
        <v>Moderate (16-20m)</v>
      </c>
      <c r="I38" s="2">
        <f t="shared" si="3"/>
        <v>0</v>
      </c>
      <c r="J38" s="2">
        <f t="shared" si="4"/>
        <v>0</v>
      </c>
      <c r="K38" s="2">
        <v>11.0</v>
      </c>
      <c r="L38" s="2" t="s">
        <v>25</v>
      </c>
      <c r="M38" s="2">
        <v>11.0</v>
      </c>
      <c r="N38" s="2">
        <v>0.0</v>
      </c>
      <c r="O38" s="4">
        <v>1.0</v>
      </c>
      <c r="P38" s="6">
        <v>0.0</v>
      </c>
      <c r="Q38" s="2" t="s">
        <v>26</v>
      </c>
      <c r="R38" s="2" t="s">
        <v>27</v>
      </c>
      <c r="S38" s="2" t="s">
        <v>27</v>
      </c>
      <c r="T38" s="2" t="s">
        <v>28</v>
      </c>
      <c r="U38" s="2">
        <v>37.0</v>
      </c>
    </row>
    <row r="39">
      <c r="A39" s="1" t="s">
        <v>71</v>
      </c>
      <c r="B39" s="3">
        <v>46282.0</v>
      </c>
      <c r="C39" s="1" t="s">
        <v>127</v>
      </c>
      <c r="D39" s="2" t="s">
        <v>23</v>
      </c>
      <c r="E39" s="2" t="s">
        <v>31</v>
      </c>
      <c r="F39" s="2">
        <v>8.0</v>
      </c>
      <c r="G39" s="2">
        <f t="shared" si="1"/>
        <v>8</v>
      </c>
      <c r="H39" s="2" t="str">
        <f t="shared" si="2"/>
        <v>On-Time (&lt;=15m)</v>
      </c>
      <c r="I39" s="2">
        <f t="shared" si="3"/>
        <v>0</v>
      </c>
      <c r="J39" s="2">
        <f t="shared" si="4"/>
        <v>0</v>
      </c>
      <c r="K39" s="2">
        <v>11.0</v>
      </c>
      <c r="L39" s="2" t="s">
        <v>32</v>
      </c>
      <c r="M39" s="2">
        <v>11.0</v>
      </c>
      <c r="N39" s="2">
        <v>0.0</v>
      </c>
      <c r="O39" s="4">
        <v>1.0</v>
      </c>
      <c r="P39" s="6">
        <v>0.0</v>
      </c>
      <c r="Q39" s="2" t="s">
        <v>26</v>
      </c>
      <c r="R39" s="2" t="s">
        <v>27</v>
      </c>
      <c r="S39" s="2" t="s">
        <v>27</v>
      </c>
      <c r="T39" s="2" t="s">
        <v>28</v>
      </c>
      <c r="U39" s="2">
        <v>38.0</v>
      </c>
    </row>
    <row r="40">
      <c r="A40" s="1" t="s">
        <v>72</v>
      </c>
      <c r="B40" s="3">
        <v>46282.0</v>
      </c>
      <c r="C40" s="1" t="s">
        <v>127</v>
      </c>
      <c r="D40" s="2" t="s">
        <v>23</v>
      </c>
      <c r="E40" s="2" t="s">
        <v>35</v>
      </c>
      <c r="F40" s="2">
        <v>12.0</v>
      </c>
      <c r="G40" s="2">
        <f t="shared" si="1"/>
        <v>12</v>
      </c>
      <c r="H40" s="2" t="str">
        <f t="shared" si="2"/>
        <v>On-Time (&lt;=15m)</v>
      </c>
      <c r="I40" s="2">
        <f t="shared" si="3"/>
        <v>0</v>
      </c>
      <c r="J40" s="2">
        <f t="shared" si="4"/>
        <v>0</v>
      </c>
      <c r="K40" s="2">
        <v>11.0</v>
      </c>
      <c r="L40" s="2" t="s">
        <v>25</v>
      </c>
      <c r="M40" s="2">
        <v>11.0</v>
      </c>
      <c r="N40" s="2">
        <v>0.0</v>
      </c>
      <c r="O40" s="4">
        <v>1.0</v>
      </c>
      <c r="P40" s="6">
        <v>0.0</v>
      </c>
      <c r="Q40" s="2" t="s">
        <v>26</v>
      </c>
      <c r="R40" s="2" t="s">
        <v>27</v>
      </c>
      <c r="S40" s="2" t="s">
        <v>27</v>
      </c>
      <c r="T40" s="2" t="s">
        <v>28</v>
      </c>
      <c r="U40" s="2">
        <v>39.0</v>
      </c>
    </row>
    <row r="41">
      <c r="A41" s="1" t="s">
        <v>73</v>
      </c>
      <c r="B41" s="3">
        <v>46282.0</v>
      </c>
      <c r="C41" s="1" t="s">
        <v>128</v>
      </c>
      <c r="D41" s="2" t="s">
        <v>23</v>
      </c>
      <c r="E41" s="2" t="s">
        <v>24</v>
      </c>
      <c r="F41" s="2">
        <v>19.0</v>
      </c>
      <c r="G41" s="2">
        <f t="shared" si="1"/>
        <v>19</v>
      </c>
      <c r="H41" s="2" t="str">
        <f t="shared" si="2"/>
        <v>Moderate (16-20m)</v>
      </c>
      <c r="I41" s="2">
        <f t="shared" si="3"/>
        <v>0</v>
      </c>
      <c r="J41" s="2">
        <f t="shared" si="4"/>
        <v>0</v>
      </c>
      <c r="K41" s="2">
        <v>11.0</v>
      </c>
      <c r="L41" s="2" t="s">
        <v>25</v>
      </c>
      <c r="M41" s="2">
        <v>11.0</v>
      </c>
      <c r="N41" s="2">
        <v>0.0</v>
      </c>
      <c r="O41" s="4">
        <v>1.0</v>
      </c>
      <c r="P41" s="6">
        <v>0.0</v>
      </c>
      <c r="Q41" s="2" t="s">
        <v>26</v>
      </c>
      <c r="R41" s="2" t="s">
        <v>27</v>
      </c>
      <c r="S41" s="2" t="s">
        <v>27</v>
      </c>
      <c r="T41" s="2" t="s">
        <v>28</v>
      </c>
      <c r="U41" s="2">
        <v>40.0</v>
      </c>
    </row>
    <row r="42">
      <c r="A42" s="1" t="s">
        <v>74</v>
      </c>
      <c r="B42" s="3">
        <v>46282.0</v>
      </c>
      <c r="C42" s="1" t="s">
        <v>128</v>
      </c>
      <c r="D42" s="2" t="s">
        <v>23</v>
      </c>
      <c r="E42" s="2" t="s">
        <v>31</v>
      </c>
      <c r="F42" s="2">
        <v>11.0</v>
      </c>
      <c r="G42" s="2">
        <f t="shared" si="1"/>
        <v>11</v>
      </c>
      <c r="H42" s="2" t="str">
        <f t="shared" si="2"/>
        <v>On-Time (&lt;=15m)</v>
      </c>
      <c r="I42" s="2">
        <f t="shared" si="3"/>
        <v>0</v>
      </c>
      <c r="J42" s="2">
        <f t="shared" si="4"/>
        <v>0</v>
      </c>
      <c r="K42" s="2">
        <v>11.0</v>
      </c>
      <c r="L42" s="2" t="s">
        <v>32</v>
      </c>
      <c r="M42" s="2">
        <v>11.0</v>
      </c>
      <c r="N42" s="2">
        <v>0.0</v>
      </c>
      <c r="O42" s="4">
        <v>1.0</v>
      </c>
      <c r="P42" s="6">
        <v>0.0</v>
      </c>
      <c r="Q42" s="2" t="s">
        <v>26</v>
      </c>
      <c r="R42" s="2" t="s">
        <v>27</v>
      </c>
      <c r="S42" s="2" t="s">
        <v>27</v>
      </c>
      <c r="T42" s="2" t="s">
        <v>28</v>
      </c>
      <c r="U42" s="2">
        <v>41.0</v>
      </c>
    </row>
    <row r="43">
      <c r="A43" s="1" t="s">
        <v>75</v>
      </c>
      <c r="B43" s="3">
        <v>46282.0</v>
      </c>
      <c r="C43" s="1" t="s">
        <v>128</v>
      </c>
      <c r="D43" s="2" t="s">
        <v>23</v>
      </c>
      <c r="E43" s="2" t="s">
        <v>35</v>
      </c>
      <c r="F43" s="2">
        <v>14.0</v>
      </c>
      <c r="G43" s="2">
        <f t="shared" si="1"/>
        <v>14</v>
      </c>
      <c r="H43" s="2" t="str">
        <f t="shared" si="2"/>
        <v>On-Time (&lt;=15m)</v>
      </c>
      <c r="I43" s="2">
        <f t="shared" si="3"/>
        <v>0</v>
      </c>
      <c r="J43" s="2">
        <f t="shared" si="4"/>
        <v>0</v>
      </c>
      <c r="K43" s="2">
        <v>11.0</v>
      </c>
      <c r="L43" s="2" t="s">
        <v>25</v>
      </c>
      <c r="M43" s="2">
        <v>11.0</v>
      </c>
      <c r="N43" s="2">
        <v>0.0</v>
      </c>
      <c r="O43" s="4">
        <v>1.0</v>
      </c>
      <c r="P43" s="6">
        <v>0.0</v>
      </c>
      <c r="Q43" s="2" t="s">
        <v>26</v>
      </c>
      <c r="R43" s="2" t="s">
        <v>27</v>
      </c>
      <c r="S43" s="2" t="s">
        <v>27</v>
      </c>
      <c r="T43" s="2" t="s">
        <v>28</v>
      </c>
      <c r="U43" s="2">
        <v>42.0</v>
      </c>
    </row>
    <row r="44">
      <c r="A44" s="1" t="s">
        <v>76</v>
      </c>
      <c r="B44" s="3">
        <v>46282.0</v>
      </c>
      <c r="C44" s="1" t="s">
        <v>129</v>
      </c>
      <c r="D44" s="2" t="s">
        <v>23</v>
      </c>
      <c r="E44" s="2" t="s">
        <v>24</v>
      </c>
      <c r="F44" s="2">
        <v>24.0</v>
      </c>
      <c r="G44" s="2">
        <f t="shared" si="1"/>
        <v>24</v>
      </c>
      <c r="H44" s="2" t="str">
        <f t="shared" si="2"/>
        <v>SLA Breach (&gt;20m)</v>
      </c>
      <c r="I44" s="2">
        <f t="shared" si="3"/>
        <v>0</v>
      </c>
      <c r="J44" s="2">
        <f t="shared" si="4"/>
        <v>1</v>
      </c>
      <c r="K44" s="2">
        <v>11.0</v>
      </c>
      <c r="L44" s="2" t="s">
        <v>25</v>
      </c>
      <c r="M44" s="2">
        <v>11.0</v>
      </c>
      <c r="N44" s="2">
        <v>0.0</v>
      </c>
      <c r="O44" s="4">
        <v>1.0</v>
      </c>
      <c r="P44" s="6">
        <v>0.0</v>
      </c>
      <c r="Q44" s="2" t="s">
        <v>26</v>
      </c>
      <c r="R44" s="2" t="s">
        <v>27</v>
      </c>
      <c r="S44" s="2" t="s">
        <v>77</v>
      </c>
      <c r="T44" s="2" t="s">
        <v>78</v>
      </c>
      <c r="U44" s="2">
        <v>43.0</v>
      </c>
    </row>
    <row r="45">
      <c r="A45" s="1" t="s">
        <v>79</v>
      </c>
      <c r="B45" s="3">
        <v>46282.0</v>
      </c>
      <c r="C45" s="1" t="s">
        <v>129</v>
      </c>
      <c r="D45" s="2" t="s">
        <v>23</v>
      </c>
      <c r="E45" s="2" t="s">
        <v>31</v>
      </c>
      <c r="F45" s="2">
        <v>11.0</v>
      </c>
      <c r="G45" s="2">
        <f t="shared" si="1"/>
        <v>11</v>
      </c>
      <c r="H45" s="2" t="str">
        <f t="shared" si="2"/>
        <v>On-Time (&lt;=15m)</v>
      </c>
      <c r="I45" s="2">
        <f t="shared" si="3"/>
        <v>0</v>
      </c>
      <c r="J45" s="2">
        <f t="shared" si="4"/>
        <v>0</v>
      </c>
      <c r="K45" s="2">
        <v>11.0</v>
      </c>
      <c r="L45" s="2" t="s">
        <v>32</v>
      </c>
      <c r="M45" s="2">
        <v>11.0</v>
      </c>
      <c r="N45" s="2">
        <v>0.0</v>
      </c>
      <c r="O45" s="4">
        <v>1.0</v>
      </c>
      <c r="P45" s="6">
        <v>0.0</v>
      </c>
      <c r="Q45" s="2" t="s">
        <v>26</v>
      </c>
      <c r="R45" s="2" t="s">
        <v>27</v>
      </c>
      <c r="S45" s="2" t="s">
        <v>27</v>
      </c>
      <c r="T45" s="2" t="s">
        <v>28</v>
      </c>
      <c r="U45" s="2">
        <v>44.0</v>
      </c>
    </row>
    <row r="46">
      <c r="A46" s="1" t="s">
        <v>80</v>
      </c>
      <c r="B46" s="3">
        <v>46282.0</v>
      </c>
      <c r="C46" s="1" t="s">
        <v>129</v>
      </c>
      <c r="D46" s="2" t="s">
        <v>23</v>
      </c>
      <c r="E46" s="2" t="s">
        <v>35</v>
      </c>
      <c r="F46" s="2">
        <v>14.0</v>
      </c>
      <c r="G46" s="2">
        <f t="shared" si="1"/>
        <v>14</v>
      </c>
      <c r="H46" s="2" t="str">
        <f t="shared" si="2"/>
        <v>On-Time (&lt;=15m)</v>
      </c>
      <c r="I46" s="2">
        <f t="shared" si="3"/>
        <v>0</v>
      </c>
      <c r="J46" s="2">
        <f t="shared" si="4"/>
        <v>1</v>
      </c>
      <c r="K46" s="2">
        <v>11.0</v>
      </c>
      <c r="L46" s="2" t="s">
        <v>25</v>
      </c>
      <c r="M46" s="2">
        <v>11.0</v>
      </c>
      <c r="N46" s="2">
        <v>0.0</v>
      </c>
      <c r="O46" s="4">
        <v>1.0</v>
      </c>
      <c r="P46" s="6">
        <v>0.0</v>
      </c>
      <c r="Q46" s="2" t="s">
        <v>26</v>
      </c>
      <c r="R46" s="2" t="s">
        <v>27</v>
      </c>
      <c r="S46" s="2" t="s">
        <v>77</v>
      </c>
      <c r="T46" s="2" t="s">
        <v>78</v>
      </c>
      <c r="U46" s="2">
        <v>45.0</v>
      </c>
    </row>
    <row r="47">
      <c r="A47" s="1" t="s">
        <v>82</v>
      </c>
      <c r="B47" s="3">
        <v>46282.0</v>
      </c>
      <c r="C47" s="1" t="s">
        <v>130</v>
      </c>
      <c r="D47" s="2" t="s">
        <v>23</v>
      </c>
      <c r="E47" s="2" t="s">
        <v>24</v>
      </c>
      <c r="F47" s="2">
        <v>22.0</v>
      </c>
      <c r="G47" s="2">
        <f t="shared" si="1"/>
        <v>22</v>
      </c>
      <c r="H47" s="2" t="str">
        <f t="shared" si="2"/>
        <v>SLA Breach (&gt;20m)</v>
      </c>
      <c r="I47" s="2">
        <f t="shared" si="3"/>
        <v>0</v>
      </c>
      <c r="J47" s="2">
        <f t="shared" si="4"/>
        <v>1</v>
      </c>
      <c r="K47" s="2">
        <v>11.0</v>
      </c>
      <c r="L47" s="2" t="s">
        <v>25</v>
      </c>
      <c r="M47" s="2">
        <v>11.0</v>
      </c>
      <c r="N47" s="2">
        <v>0.0</v>
      </c>
      <c r="O47" s="4">
        <v>1.0</v>
      </c>
      <c r="P47" s="6">
        <v>0.0</v>
      </c>
      <c r="Q47" s="2" t="s">
        <v>26</v>
      </c>
      <c r="R47" s="2" t="s">
        <v>27</v>
      </c>
      <c r="S47" s="2" t="s">
        <v>77</v>
      </c>
      <c r="T47" s="2" t="s">
        <v>78</v>
      </c>
      <c r="U47" s="2">
        <v>46.0</v>
      </c>
    </row>
    <row r="48">
      <c r="A48" s="1" t="s">
        <v>83</v>
      </c>
      <c r="B48" s="3">
        <v>46282.0</v>
      </c>
      <c r="C48" s="1" t="s">
        <v>130</v>
      </c>
      <c r="D48" s="2" t="s">
        <v>23</v>
      </c>
      <c r="E48" s="2" t="s">
        <v>31</v>
      </c>
      <c r="F48" s="2">
        <v>12.0</v>
      </c>
      <c r="G48" s="2">
        <f t="shared" si="1"/>
        <v>12</v>
      </c>
      <c r="H48" s="2" t="str">
        <f t="shared" si="2"/>
        <v>On-Time (&lt;=15m)</v>
      </c>
      <c r="I48" s="2">
        <f t="shared" si="3"/>
        <v>0</v>
      </c>
      <c r="J48" s="2">
        <f t="shared" si="4"/>
        <v>0</v>
      </c>
      <c r="K48" s="2">
        <v>11.0</v>
      </c>
      <c r="L48" s="2" t="s">
        <v>32</v>
      </c>
      <c r="M48" s="2">
        <v>11.0</v>
      </c>
      <c r="N48" s="2">
        <v>0.0</v>
      </c>
      <c r="O48" s="4">
        <v>1.0</v>
      </c>
      <c r="P48" s="6">
        <v>0.0</v>
      </c>
      <c r="Q48" s="2" t="s">
        <v>26</v>
      </c>
      <c r="R48" s="2" t="s">
        <v>27</v>
      </c>
      <c r="S48" s="2" t="s">
        <v>27</v>
      </c>
      <c r="T48" s="2" t="s">
        <v>28</v>
      </c>
      <c r="U48" s="2">
        <v>47.0</v>
      </c>
    </row>
    <row r="49">
      <c r="A49" s="1" t="s">
        <v>84</v>
      </c>
      <c r="B49" s="3">
        <v>46282.0</v>
      </c>
      <c r="C49" s="1" t="s">
        <v>130</v>
      </c>
      <c r="D49" s="2" t="s">
        <v>23</v>
      </c>
      <c r="E49" s="2" t="s">
        <v>35</v>
      </c>
      <c r="F49" s="2">
        <v>20.0</v>
      </c>
      <c r="G49" s="2">
        <f t="shared" si="1"/>
        <v>20</v>
      </c>
      <c r="H49" s="2" t="str">
        <f t="shared" si="2"/>
        <v>Moderate (16-20m)</v>
      </c>
      <c r="I49" s="2">
        <f t="shared" si="3"/>
        <v>0</v>
      </c>
      <c r="J49" s="2">
        <f t="shared" si="4"/>
        <v>1</v>
      </c>
      <c r="K49" s="2">
        <v>11.0</v>
      </c>
      <c r="L49" s="2" t="s">
        <v>25</v>
      </c>
      <c r="M49" s="2">
        <v>11.0</v>
      </c>
      <c r="N49" s="2">
        <v>0.0</v>
      </c>
      <c r="O49" s="4">
        <v>1.0</v>
      </c>
      <c r="P49" s="6">
        <v>0.0</v>
      </c>
      <c r="Q49" s="2" t="s">
        <v>26</v>
      </c>
      <c r="R49" s="2" t="s">
        <v>27</v>
      </c>
      <c r="S49" s="2" t="s">
        <v>77</v>
      </c>
      <c r="T49" s="2" t="s">
        <v>78</v>
      </c>
      <c r="U49" s="2">
        <v>48.0</v>
      </c>
    </row>
    <row r="50">
      <c r="A50" s="1" t="s">
        <v>85</v>
      </c>
      <c r="B50" s="3">
        <v>46282.0</v>
      </c>
      <c r="C50" s="1" t="s">
        <v>131</v>
      </c>
      <c r="D50" s="2" t="s">
        <v>23</v>
      </c>
      <c r="E50" s="2" t="s">
        <v>24</v>
      </c>
      <c r="F50" s="2">
        <v>16.0</v>
      </c>
      <c r="G50" s="2">
        <f t="shared" si="1"/>
        <v>16</v>
      </c>
      <c r="H50" s="2" t="str">
        <f t="shared" si="2"/>
        <v>Moderate (16-20m)</v>
      </c>
      <c r="I50" s="2">
        <f t="shared" si="3"/>
        <v>0</v>
      </c>
      <c r="J50" s="2">
        <f t="shared" si="4"/>
        <v>0</v>
      </c>
      <c r="K50" s="2">
        <v>11.0</v>
      </c>
      <c r="L50" s="2" t="s">
        <v>25</v>
      </c>
      <c r="M50" s="2">
        <v>11.0</v>
      </c>
      <c r="N50" s="2">
        <v>0.0</v>
      </c>
      <c r="O50" s="4">
        <v>1.0</v>
      </c>
      <c r="P50" s="6">
        <v>0.0</v>
      </c>
      <c r="Q50" s="2" t="s">
        <v>26</v>
      </c>
      <c r="R50" s="2" t="s">
        <v>27</v>
      </c>
      <c r="S50" s="2" t="s">
        <v>27</v>
      </c>
      <c r="T50" s="2" t="s">
        <v>28</v>
      </c>
      <c r="U50" s="2">
        <v>49.0</v>
      </c>
    </row>
    <row r="51">
      <c r="A51" s="1" t="s">
        <v>86</v>
      </c>
      <c r="B51" s="3">
        <v>46282.0</v>
      </c>
      <c r="C51" s="1" t="s">
        <v>131</v>
      </c>
      <c r="D51" s="2" t="s">
        <v>23</v>
      </c>
      <c r="E51" s="2" t="s">
        <v>31</v>
      </c>
      <c r="F51" s="2">
        <v>11.0</v>
      </c>
      <c r="G51" s="2">
        <f t="shared" si="1"/>
        <v>11</v>
      </c>
      <c r="H51" s="2" t="str">
        <f t="shared" si="2"/>
        <v>On-Time (&lt;=15m)</v>
      </c>
      <c r="I51" s="2">
        <f t="shared" si="3"/>
        <v>0</v>
      </c>
      <c r="J51" s="2">
        <f t="shared" si="4"/>
        <v>0</v>
      </c>
      <c r="K51" s="2">
        <v>11.0</v>
      </c>
      <c r="L51" s="2" t="s">
        <v>32</v>
      </c>
      <c r="M51" s="2">
        <v>11.0</v>
      </c>
      <c r="N51" s="2">
        <v>0.0</v>
      </c>
      <c r="O51" s="4">
        <v>1.0</v>
      </c>
      <c r="P51" s="6">
        <v>0.0</v>
      </c>
      <c r="Q51" s="2" t="s">
        <v>26</v>
      </c>
      <c r="R51" s="2" t="s">
        <v>27</v>
      </c>
      <c r="S51" s="2" t="s">
        <v>27</v>
      </c>
      <c r="T51" s="2" t="s">
        <v>28</v>
      </c>
      <c r="U51" s="2">
        <v>50.0</v>
      </c>
    </row>
    <row r="52">
      <c r="A52" s="1" t="s">
        <v>87</v>
      </c>
      <c r="B52" s="3">
        <v>46282.0</v>
      </c>
      <c r="C52" s="1" t="s">
        <v>131</v>
      </c>
      <c r="D52" s="2" t="s">
        <v>23</v>
      </c>
      <c r="E52" s="2" t="s">
        <v>35</v>
      </c>
      <c r="F52" s="2">
        <v>15.0</v>
      </c>
      <c r="G52" s="2">
        <f t="shared" si="1"/>
        <v>15</v>
      </c>
      <c r="H52" s="2" t="str">
        <f t="shared" si="2"/>
        <v>On-Time (&lt;=15m)</v>
      </c>
      <c r="I52" s="2">
        <f t="shared" si="3"/>
        <v>0</v>
      </c>
      <c r="J52" s="2">
        <f t="shared" si="4"/>
        <v>0</v>
      </c>
      <c r="K52" s="2">
        <v>11.0</v>
      </c>
      <c r="L52" s="2" t="s">
        <v>25</v>
      </c>
      <c r="M52" s="2">
        <v>11.0</v>
      </c>
      <c r="N52" s="2">
        <v>0.0</v>
      </c>
      <c r="O52" s="4">
        <v>1.0</v>
      </c>
      <c r="P52" s="6">
        <v>0.0</v>
      </c>
      <c r="Q52" s="2" t="s">
        <v>26</v>
      </c>
      <c r="R52" s="2" t="s">
        <v>27</v>
      </c>
      <c r="S52" s="2" t="s">
        <v>27</v>
      </c>
      <c r="T52" s="2" t="s">
        <v>28</v>
      </c>
      <c r="U52" s="2">
        <v>51.0</v>
      </c>
    </row>
    <row r="53">
      <c r="A53" s="1" t="s">
        <v>88</v>
      </c>
      <c r="B53" s="3">
        <v>46282.0</v>
      </c>
      <c r="C53" s="1" t="s">
        <v>132</v>
      </c>
      <c r="D53" s="2" t="s">
        <v>23</v>
      </c>
      <c r="E53" s="2" t="s">
        <v>24</v>
      </c>
      <c r="F53" s="2">
        <v>15.0</v>
      </c>
      <c r="G53" s="2">
        <f t="shared" si="1"/>
        <v>15</v>
      </c>
      <c r="H53" s="2" t="str">
        <f t="shared" si="2"/>
        <v>On-Time (&lt;=15m)</v>
      </c>
      <c r="I53" s="2">
        <f t="shared" si="3"/>
        <v>0</v>
      </c>
      <c r="J53" s="2">
        <f t="shared" si="4"/>
        <v>0</v>
      </c>
      <c r="K53" s="2">
        <v>11.0</v>
      </c>
      <c r="L53" s="2" t="s">
        <v>25</v>
      </c>
      <c r="M53" s="2">
        <v>11.0</v>
      </c>
      <c r="N53" s="2">
        <v>0.0</v>
      </c>
      <c r="O53" s="4">
        <v>1.0</v>
      </c>
      <c r="P53" s="6">
        <v>0.0</v>
      </c>
      <c r="Q53" s="2" t="s">
        <v>26</v>
      </c>
      <c r="R53" s="2" t="s">
        <v>27</v>
      </c>
      <c r="S53" s="2" t="s">
        <v>27</v>
      </c>
      <c r="T53" s="2" t="s">
        <v>28</v>
      </c>
      <c r="U53" s="2">
        <v>52.0</v>
      </c>
    </row>
    <row r="54">
      <c r="A54" s="1" t="s">
        <v>89</v>
      </c>
      <c r="B54" s="3">
        <v>46282.0</v>
      </c>
      <c r="C54" s="1" t="s">
        <v>132</v>
      </c>
      <c r="D54" s="2" t="s">
        <v>23</v>
      </c>
      <c r="E54" s="2" t="s">
        <v>31</v>
      </c>
      <c r="F54" s="2">
        <v>12.0</v>
      </c>
      <c r="G54" s="2">
        <f t="shared" si="1"/>
        <v>12</v>
      </c>
      <c r="H54" s="2" t="str">
        <f t="shared" si="2"/>
        <v>On-Time (&lt;=15m)</v>
      </c>
      <c r="I54" s="2">
        <f t="shared" si="3"/>
        <v>0</v>
      </c>
      <c r="J54" s="2">
        <f t="shared" si="4"/>
        <v>0</v>
      </c>
      <c r="K54" s="2">
        <v>11.0</v>
      </c>
      <c r="L54" s="2" t="s">
        <v>32</v>
      </c>
      <c r="M54" s="2">
        <v>11.0</v>
      </c>
      <c r="N54" s="2">
        <v>0.0</v>
      </c>
      <c r="O54" s="4">
        <v>1.0</v>
      </c>
      <c r="P54" s="6">
        <v>0.0</v>
      </c>
      <c r="Q54" s="2" t="s">
        <v>26</v>
      </c>
      <c r="R54" s="2" t="s">
        <v>27</v>
      </c>
      <c r="S54" s="2" t="s">
        <v>27</v>
      </c>
      <c r="T54" s="2" t="s">
        <v>28</v>
      </c>
      <c r="U54" s="2">
        <v>53.0</v>
      </c>
    </row>
    <row r="55">
      <c r="A55" s="1" t="s">
        <v>90</v>
      </c>
      <c r="B55" s="3">
        <v>46282.0</v>
      </c>
      <c r="C55" s="1" t="s">
        <v>132</v>
      </c>
      <c r="D55" s="2" t="s">
        <v>23</v>
      </c>
      <c r="E55" s="2" t="s">
        <v>35</v>
      </c>
      <c r="F55" s="2">
        <v>14.0</v>
      </c>
      <c r="G55" s="2">
        <f t="shared" si="1"/>
        <v>14</v>
      </c>
      <c r="H55" s="2" t="str">
        <f t="shared" si="2"/>
        <v>On-Time (&lt;=15m)</v>
      </c>
      <c r="I55" s="2">
        <f t="shared" si="3"/>
        <v>0</v>
      </c>
      <c r="J55" s="2">
        <f t="shared" si="4"/>
        <v>0</v>
      </c>
      <c r="K55" s="2">
        <v>11.0</v>
      </c>
      <c r="L55" s="2" t="s">
        <v>25</v>
      </c>
      <c r="M55" s="2">
        <v>11.0</v>
      </c>
      <c r="N55" s="2">
        <v>0.0</v>
      </c>
      <c r="O55" s="4">
        <v>1.0</v>
      </c>
      <c r="P55" s="6">
        <v>0.0</v>
      </c>
      <c r="Q55" s="2" t="s">
        <v>26</v>
      </c>
      <c r="R55" s="2" t="s">
        <v>27</v>
      </c>
      <c r="S55" s="2" t="s">
        <v>27</v>
      </c>
      <c r="T55" s="2" t="s">
        <v>28</v>
      </c>
      <c r="U55" s="2">
        <v>54.0</v>
      </c>
    </row>
    <row r="56">
      <c r="A56" s="1" t="s">
        <v>91</v>
      </c>
      <c r="B56" s="3">
        <v>46282.0</v>
      </c>
      <c r="C56" s="1" t="s">
        <v>133</v>
      </c>
      <c r="D56" s="2" t="s">
        <v>23</v>
      </c>
      <c r="E56" s="2" t="s">
        <v>24</v>
      </c>
      <c r="F56" s="2">
        <v>20.0</v>
      </c>
      <c r="G56" s="2">
        <f t="shared" si="1"/>
        <v>20</v>
      </c>
      <c r="H56" s="2" t="str">
        <f t="shared" si="2"/>
        <v>Moderate (16-20m)</v>
      </c>
      <c r="I56" s="2">
        <f t="shared" si="3"/>
        <v>0</v>
      </c>
      <c r="J56" s="2">
        <f t="shared" si="4"/>
        <v>0</v>
      </c>
      <c r="K56" s="2">
        <v>11.0</v>
      </c>
      <c r="L56" s="2" t="s">
        <v>25</v>
      </c>
      <c r="M56" s="2">
        <v>11.0</v>
      </c>
      <c r="N56" s="2">
        <v>0.0</v>
      </c>
      <c r="O56" s="4">
        <v>1.0</v>
      </c>
      <c r="P56" s="6">
        <v>0.0</v>
      </c>
      <c r="Q56" s="2" t="s">
        <v>26</v>
      </c>
      <c r="R56" s="2" t="s">
        <v>27</v>
      </c>
      <c r="S56" s="2" t="s">
        <v>27</v>
      </c>
      <c r="T56" s="2" t="s">
        <v>28</v>
      </c>
      <c r="U56" s="2">
        <v>55.0</v>
      </c>
    </row>
    <row r="57">
      <c r="A57" s="1" t="s">
        <v>92</v>
      </c>
      <c r="B57" s="3">
        <v>46282.0</v>
      </c>
      <c r="C57" s="1" t="s">
        <v>133</v>
      </c>
      <c r="D57" s="2" t="s">
        <v>23</v>
      </c>
      <c r="E57" s="2" t="s">
        <v>31</v>
      </c>
      <c r="F57" s="2">
        <v>13.0</v>
      </c>
      <c r="G57" s="2">
        <f t="shared" si="1"/>
        <v>13</v>
      </c>
      <c r="H57" s="2" t="str">
        <f t="shared" si="2"/>
        <v>On-Time (&lt;=15m)</v>
      </c>
      <c r="I57" s="2">
        <f t="shared" si="3"/>
        <v>0</v>
      </c>
      <c r="J57" s="2">
        <f t="shared" si="4"/>
        <v>0</v>
      </c>
      <c r="K57" s="2">
        <v>11.0</v>
      </c>
      <c r="L57" s="2" t="s">
        <v>32</v>
      </c>
      <c r="M57" s="2">
        <v>11.0</v>
      </c>
      <c r="N57" s="2">
        <v>0.0</v>
      </c>
      <c r="O57" s="4">
        <v>1.0</v>
      </c>
      <c r="P57" s="6">
        <v>0.0</v>
      </c>
      <c r="Q57" s="2" t="s">
        <v>26</v>
      </c>
      <c r="R57" s="2" t="s">
        <v>27</v>
      </c>
      <c r="S57" s="2" t="s">
        <v>27</v>
      </c>
      <c r="T57" s="2" t="s">
        <v>28</v>
      </c>
      <c r="U57" s="2">
        <v>56.0</v>
      </c>
    </row>
    <row r="58">
      <c r="A58" s="1" t="s">
        <v>93</v>
      </c>
      <c r="B58" s="3">
        <v>46282.0</v>
      </c>
      <c r="C58" s="1" t="s">
        <v>133</v>
      </c>
      <c r="D58" s="2" t="s">
        <v>23</v>
      </c>
      <c r="E58" s="2" t="s">
        <v>35</v>
      </c>
      <c r="F58" s="2">
        <v>18.0</v>
      </c>
      <c r="G58" s="2">
        <f t="shared" si="1"/>
        <v>18</v>
      </c>
      <c r="H58" s="2" t="str">
        <f t="shared" si="2"/>
        <v>Moderate (16-20m)</v>
      </c>
      <c r="I58" s="2">
        <f t="shared" si="3"/>
        <v>0</v>
      </c>
      <c r="J58" s="2">
        <f t="shared" si="4"/>
        <v>0</v>
      </c>
      <c r="K58" s="2">
        <v>11.0</v>
      </c>
      <c r="L58" s="2" t="s">
        <v>25</v>
      </c>
      <c r="M58" s="2">
        <v>11.0</v>
      </c>
      <c r="N58" s="2">
        <v>0.0</v>
      </c>
      <c r="O58" s="4">
        <v>1.0</v>
      </c>
      <c r="P58" s="6">
        <v>0.0</v>
      </c>
      <c r="Q58" s="2" t="s">
        <v>26</v>
      </c>
      <c r="R58" s="2" t="s">
        <v>27</v>
      </c>
      <c r="S58" s="2" t="s">
        <v>27</v>
      </c>
      <c r="T58" s="2" t="s">
        <v>28</v>
      </c>
      <c r="U58" s="2">
        <v>57.0</v>
      </c>
    </row>
    <row r="59">
      <c r="A59" s="1" t="s">
        <v>95</v>
      </c>
      <c r="B59" s="3">
        <v>46282.0</v>
      </c>
      <c r="C59" s="1" t="s">
        <v>134</v>
      </c>
      <c r="D59" s="2" t="s">
        <v>23</v>
      </c>
      <c r="E59" s="2" t="s">
        <v>24</v>
      </c>
      <c r="F59" s="2">
        <v>16.0</v>
      </c>
      <c r="G59" s="2">
        <f t="shared" si="1"/>
        <v>16</v>
      </c>
      <c r="H59" s="2" t="str">
        <f t="shared" si="2"/>
        <v>Moderate (16-20m)</v>
      </c>
      <c r="I59" s="2">
        <f t="shared" si="3"/>
        <v>0</v>
      </c>
      <c r="J59" s="2">
        <f t="shared" si="4"/>
        <v>0</v>
      </c>
      <c r="K59" s="2">
        <v>11.0</v>
      </c>
      <c r="L59" s="2" t="s">
        <v>25</v>
      </c>
      <c r="M59" s="2">
        <v>11.0</v>
      </c>
      <c r="N59" s="2">
        <v>0.0</v>
      </c>
      <c r="O59" s="4">
        <v>1.0</v>
      </c>
      <c r="P59" s="6">
        <v>0.0</v>
      </c>
      <c r="Q59" s="2" t="s">
        <v>26</v>
      </c>
      <c r="R59" s="2" t="s">
        <v>27</v>
      </c>
      <c r="S59" s="2" t="s">
        <v>27</v>
      </c>
      <c r="T59" s="2" t="s">
        <v>28</v>
      </c>
      <c r="U59" s="2">
        <v>58.0</v>
      </c>
    </row>
    <row r="60">
      <c r="A60" s="1" t="s">
        <v>96</v>
      </c>
      <c r="B60" s="3">
        <v>46282.0</v>
      </c>
      <c r="C60" s="1" t="s">
        <v>134</v>
      </c>
      <c r="D60" s="2" t="s">
        <v>23</v>
      </c>
      <c r="E60" s="2" t="s">
        <v>31</v>
      </c>
      <c r="F60" s="2">
        <v>11.0</v>
      </c>
      <c r="G60" s="2">
        <f t="shared" si="1"/>
        <v>11</v>
      </c>
      <c r="H60" s="2" t="str">
        <f t="shared" si="2"/>
        <v>On-Time (&lt;=15m)</v>
      </c>
      <c r="I60" s="2">
        <f t="shared" si="3"/>
        <v>0</v>
      </c>
      <c r="J60" s="2">
        <f t="shared" si="4"/>
        <v>0</v>
      </c>
      <c r="K60" s="2">
        <v>11.0</v>
      </c>
      <c r="L60" s="2" t="s">
        <v>32</v>
      </c>
      <c r="M60" s="2">
        <v>11.0</v>
      </c>
      <c r="N60" s="2">
        <v>0.0</v>
      </c>
      <c r="O60" s="4">
        <v>1.0</v>
      </c>
      <c r="P60" s="6">
        <v>0.0</v>
      </c>
      <c r="Q60" s="2" t="s">
        <v>26</v>
      </c>
      <c r="R60" s="2" t="s">
        <v>27</v>
      </c>
      <c r="S60" s="2" t="s">
        <v>27</v>
      </c>
      <c r="T60" s="2" t="s">
        <v>28</v>
      </c>
      <c r="U60" s="2">
        <v>59.0</v>
      </c>
    </row>
    <row r="61">
      <c r="A61" s="1" t="s">
        <v>97</v>
      </c>
      <c r="B61" s="3">
        <v>46282.0</v>
      </c>
      <c r="C61" s="1" t="s">
        <v>134</v>
      </c>
      <c r="D61" s="2" t="s">
        <v>23</v>
      </c>
      <c r="E61" s="2" t="s">
        <v>35</v>
      </c>
      <c r="F61" s="2">
        <v>14.0</v>
      </c>
      <c r="G61" s="2">
        <f t="shared" si="1"/>
        <v>14</v>
      </c>
      <c r="H61" s="2" t="str">
        <f t="shared" si="2"/>
        <v>On-Time (&lt;=15m)</v>
      </c>
      <c r="I61" s="2">
        <f t="shared" si="3"/>
        <v>0</v>
      </c>
      <c r="J61" s="2">
        <f t="shared" si="4"/>
        <v>0</v>
      </c>
      <c r="K61" s="2">
        <v>11.0</v>
      </c>
      <c r="L61" s="2" t="s">
        <v>25</v>
      </c>
      <c r="M61" s="2">
        <v>11.0</v>
      </c>
      <c r="N61" s="2">
        <v>0.0</v>
      </c>
      <c r="O61" s="4">
        <v>1.0</v>
      </c>
      <c r="P61" s="6">
        <v>0.0</v>
      </c>
      <c r="Q61" s="2" t="s">
        <v>26</v>
      </c>
      <c r="R61" s="2" t="s">
        <v>27</v>
      </c>
      <c r="S61" s="2" t="s">
        <v>27</v>
      </c>
      <c r="T61" s="2" t="s">
        <v>28</v>
      </c>
      <c r="U61" s="2">
        <v>60.0</v>
      </c>
    </row>
    <row r="62">
      <c r="A62" s="1" t="s">
        <v>98</v>
      </c>
      <c r="B62" s="3">
        <v>46282.0</v>
      </c>
      <c r="C62" s="1" t="s">
        <v>135</v>
      </c>
      <c r="D62" s="2" t="s">
        <v>23</v>
      </c>
      <c r="E62" s="2" t="s">
        <v>24</v>
      </c>
      <c r="F62" s="2">
        <v>28.0</v>
      </c>
      <c r="G62" s="2">
        <f t="shared" si="1"/>
        <v>28</v>
      </c>
      <c r="H62" s="2" t="str">
        <f t="shared" si="2"/>
        <v>SLA Breach (&gt;20m)</v>
      </c>
      <c r="I62" s="2">
        <f t="shared" si="3"/>
        <v>0</v>
      </c>
      <c r="J62" s="2">
        <f t="shared" si="4"/>
        <v>1</v>
      </c>
      <c r="K62" s="2">
        <v>11.0</v>
      </c>
      <c r="L62" s="2" t="s">
        <v>25</v>
      </c>
      <c r="M62" s="2">
        <v>11.0</v>
      </c>
      <c r="N62" s="2">
        <v>0.0</v>
      </c>
      <c r="O62" s="4">
        <v>1.0</v>
      </c>
      <c r="P62" s="6">
        <v>0.0</v>
      </c>
      <c r="Q62" s="2" t="s">
        <v>26</v>
      </c>
      <c r="R62" s="2" t="s">
        <v>27</v>
      </c>
      <c r="S62" s="2" t="s">
        <v>77</v>
      </c>
      <c r="T62" s="2" t="s">
        <v>78</v>
      </c>
      <c r="U62" s="2">
        <v>61.0</v>
      </c>
    </row>
    <row r="63">
      <c r="A63" s="1" t="s">
        <v>99</v>
      </c>
      <c r="B63" s="3">
        <v>46282.0</v>
      </c>
      <c r="C63" s="1" t="s">
        <v>135</v>
      </c>
      <c r="D63" s="2" t="s">
        <v>23</v>
      </c>
      <c r="E63" s="2" t="s">
        <v>31</v>
      </c>
      <c r="F63" s="2">
        <v>12.0</v>
      </c>
      <c r="G63" s="2">
        <f t="shared" si="1"/>
        <v>12</v>
      </c>
      <c r="H63" s="2" t="str">
        <f t="shared" si="2"/>
        <v>On-Time (&lt;=15m)</v>
      </c>
      <c r="I63" s="2">
        <f t="shared" si="3"/>
        <v>0</v>
      </c>
      <c r="J63" s="2">
        <f t="shared" si="4"/>
        <v>0</v>
      </c>
      <c r="K63" s="2">
        <v>11.0</v>
      </c>
      <c r="L63" s="2" t="s">
        <v>32</v>
      </c>
      <c r="M63" s="2">
        <v>11.0</v>
      </c>
      <c r="N63" s="2">
        <v>0.0</v>
      </c>
      <c r="O63" s="4">
        <v>1.0</v>
      </c>
      <c r="P63" s="6">
        <v>0.0</v>
      </c>
      <c r="Q63" s="2" t="s">
        <v>26</v>
      </c>
      <c r="R63" s="2" t="s">
        <v>27</v>
      </c>
      <c r="S63" s="2" t="s">
        <v>27</v>
      </c>
      <c r="T63" s="2" t="s">
        <v>28</v>
      </c>
      <c r="U63" s="2">
        <v>62.0</v>
      </c>
    </row>
    <row r="64">
      <c r="A64" s="1" t="s">
        <v>100</v>
      </c>
      <c r="B64" s="3">
        <v>46282.0</v>
      </c>
      <c r="C64" s="1" t="s">
        <v>135</v>
      </c>
      <c r="D64" s="2" t="s">
        <v>23</v>
      </c>
      <c r="E64" s="2" t="s">
        <v>35</v>
      </c>
      <c r="F64" s="2">
        <v>23.0</v>
      </c>
      <c r="G64" s="2">
        <f t="shared" si="1"/>
        <v>23</v>
      </c>
      <c r="H64" s="2" t="str">
        <f t="shared" si="2"/>
        <v>SLA Breach (&gt;20m)</v>
      </c>
      <c r="I64" s="2">
        <f t="shared" si="3"/>
        <v>0</v>
      </c>
      <c r="J64" s="2">
        <f t="shared" si="4"/>
        <v>1</v>
      </c>
      <c r="K64" s="2">
        <v>11.0</v>
      </c>
      <c r="L64" s="2" t="s">
        <v>25</v>
      </c>
      <c r="M64" s="2">
        <v>11.0</v>
      </c>
      <c r="N64" s="2">
        <v>0.0</v>
      </c>
      <c r="O64" s="4">
        <v>1.0</v>
      </c>
      <c r="P64" s="6">
        <v>0.0</v>
      </c>
      <c r="Q64" s="2" t="s">
        <v>26</v>
      </c>
      <c r="R64" s="2" t="s">
        <v>27</v>
      </c>
      <c r="S64" s="2" t="s">
        <v>77</v>
      </c>
      <c r="T64" s="2" t="s">
        <v>78</v>
      </c>
      <c r="U64" s="2">
        <v>63.0</v>
      </c>
    </row>
    <row r="65">
      <c r="A65" s="1" t="s">
        <v>101</v>
      </c>
      <c r="B65" s="3">
        <v>46282.0</v>
      </c>
      <c r="C65" s="1" t="s">
        <v>136</v>
      </c>
      <c r="D65" s="2" t="s">
        <v>23</v>
      </c>
      <c r="E65" s="2" t="s">
        <v>24</v>
      </c>
      <c r="F65" s="2">
        <v>30.0</v>
      </c>
      <c r="G65" s="2">
        <f t="shared" si="1"/>
        <v>30</v>
      </c>
      <c r="H65" s="2" t="str">
        <f t="shared" si="2"/>
        <v>SLA Breach (&gt;20m)</v>
      </c>
      <c r="I65" s="2">
        <f t="shared" si="3"/>
        <v>0</v>
      </c>
      <c r="J65" s="2">
        <f t="shared" si="4"/>
        <v>1</v>
      </c>
      <c r="K65" s="2">
        <v>11.0</v>
      </c>
      <c r="L65" s="2" t="s">
        <v>25</v>
      </c>
      <c r="M65" s="2">
        <v>11.0</v>
      </c>
      <c r="N65" s="2">
        <v>0.0</v>
      </c>
      <c r="O65" s="4">
        <v>1.0</v>
      </c>
      <c r="P65" s="6">
        <v>0.0</v>
      </c>
      <c r="Q65" s="2" t="s">
        <v>26</v>
      </c>
      <c r="R65" s="2" t="s">
        <v>27</v>
      </c>
      <c r="S65" s="2" t="s">
        <v>77</v>
      </c>
      <c r="T65" s="2" t="s">
        <v>78</v>
      </c>
      <c r="U65" s="2">
        <v>64.0</v>
      </c>
    </row>
    <row r="66">
      <c r="A66" s="1" t="s">
        <v>102</v>
      </c>
      <c r="B66" s="3">
        <v>46282.0</v>
      </c>
      <c r="C66" s="1" t="s">
        <v>136</v>
      </c>
      <c r="D66" s="2" t="s">
        <v>23</v>
      </c>
      <c r="E66" s="2" t="s">
        <v>31</v>
      </c>
      <c r="F66" s="2">
        <v>13.0</v>
      </c>
      <c r="G66" s="2">
        <f t="shared" si="1"/>
        <v>13</v>
      </c>
      <c r="H66" s="2" t="str">
        <f t="shared" si="2"/>
        <v>On-Time (&lt;=15m)</v>
      </c>
      <c r="I66" s="2">
        <f t="shared" si="3"/>
        <v>0</v>
      </c>
      <c r="J66" s="2">
        <f t="shared" si="4"/>
        <v>0</v>
      </c>
      <c r="K66" s="2">
        <v>11.0</v>
      </c>
      <c r="L66" s="2" t="s">
        <v>32</v>
      </c>
      <c r="M66" s="2">
        <v>11.0</v>
      </c>
      <c r="N66" s="2">
        <v>0.0</v>
      </c>
      <c r="O66" s="4">
        <v>1.0</v>
      </c>
      <c r="P66" s="6">
        <v>0.0</v>
      </c>
      <c r="Q66" s="2" t="s">
        <v>26</v>
      </c>
      <c r="R66" s="2" t="s">
        <v>27</v>
      </c>
      <c r="S66" s="2" t="s">
        <v>27</v>
      </c>
      <c r="T66" s="2" t="s">
        <v>28</v>
      </c>
      <c r="U66" s="2">
        <v>65.0</v>
      </c>
    </row>
    <row r="67">
      <c r="A67" s="1" t="s">
        <v>103</v>
      </c>
      <c r="B67" s="3">
        <v>46282.0</v>
      </c>
      <c r="C67" s="1" t="s">
        <v>136</v>
      </c>
      <c r="D67" s="2" t="s">
        <v>23</v>
      </c>
      <c r="E67" s="2" t="s">
        <v>35</v>
      </c>
      <c r="F67" s="2" t="s">
        <v>104</v>
      </c>
      <c r="G67" s="2" t="str">
        <f t="shared" si="1"/>
        <v/>
      </c>
      <c r="H67" s="2" t="str">
        <f t="shared" si="2"/>
        <v>SLA Breach (&gt;20m)</v>
      </c>
      <c r="I67" s="2">
        <f t="shared" si="3"/>
        <v>1</v>
      </c>
      <c r="J67" s="2">
        <f t="shared" si="4"/>
        <v>0</v>
      </c>
      <c r="K67" s="2">
        <v>11.0</v>
      </c>
      <c r="L67" s="2" t="s">
        <v>25</v>
      </c>
      <c r="M67" s="2">
        <v>0.0</v>
      </c>
      <c r="N67" s="2">
        <v>11.0</v>
      </c>
      <c r="O67" s="4">
        <v>0.0</v>
      </c>
      <c r="P67" s="6">
        <v>1.0</v>
      </c>
      <c r="Q67" s="2" t="s">
        <v>26</v>
      </c>
      <c r="R67" s="2" t="s">
        <v>27</v>
      </c>
      <c r="S67" s="2" t="s">
        <v>105</v>
      </c>
      <c r="T67" s="2" t="s">
        <v>106</v>
      </c>
      <c r="U67" s="2">
        <v>66.0</v>
      </c>
    </row>
    <row r="68">
      <c r="A68" s="1" t="s">
        <v>107</v>
      </c>
      <c r="B68" s="3">
        <v>46282.0</v>
      </c>
      <c r="C68" s="1" t="s">
        <v>137</v>
      </c>
      <c r="D68" s="2" t="s">
        <v>23</v>
      </c>
      <c r="E68" s="2" t="s">
        <v>24</v>
      </c>
      <c r="F68" s="2" t="s">
        <v>104</v>
      </c>
      <c r="G68" s="2" t="str">
        <f t="shared" si="1"/>
        <v/>
      </c>
      <c r="H68" s="2" t="str">
        <f t="shared" si="2"/>
        <v>SLA Breach (&gt;20m)</v>
      </c>
      <c r="I68" s="2">
        <f t="shared" si="3"/>
        <v>1</v>
      </c>
      <c r="J68" s="2">
        <f t="shared" si="4"/>
        <v>0</v>
      </c>
      <c r="K68" s="2">
        <v>11.0</v>
      </c>
      <c r="L68" s="2" t="s">
        <v>25</v>
      </c>
      <c r="M68" s="2">
        <v>0.0</v>
      </c>
      <c r="N68" s="2">
        <v>11.0</v>
      </c>
      <c r="O68" s="4">
        <v>0.0</v>
      </c>
      <c r="P68" s="6">
        <v>1.0</v>
      </c>
      <c r="Q68" s="2" t="s">
        <v>26</v>
      </c>
      <c r="R68" s="2" t="s">
        <v>27</v>
      </c>
      <c r="S68" s="2" t="s">
        <v>105</v>
      </c>
      <c r="T68" s="2" t="s">
        <v>106</v>
      </c>
      <c r="U68" s="2">
        <v>67.0</v>
      </c>
    </row>
    <row r="69">
      <c r="A69" s="1" t="s">
        <v>108</v>
      </c>
      <c r="B69" s="3">
        <v>46282.0</v>
      </c>
      <c r="C69" s="1" t="s">
        <v>137</v>
      </c>
      <c r="D69" s="2" t="s">
        <v>23</v>
      </c>
      <c r="E69" s="2" t="s">
        <v>31</v>
      </c>
      <c r="F69" s="2">
        <v>11.0</v>
      </c>
      <c r="G69" s="2">
        <f t="shared" si="1"/>
        <v>11</v>
      </c>
      <c r="H69" s="2" t="str">
        <f t="shared" si="2"/>
        <v>On-Time (&lt;=15m)</v>
      </c>
      <c r="I69" s="2">
        <f t="shared" si="3"/>
        <v>0</v>
      </c>
      <c r="J69" s="2">
        <f t="shared" si="4"/>
        <v>0</v>
      </c>
      <c r="K69" s="2">
        <v>11.0</v>
      </c>
      <c r="L69" s="2" t="s">
        <v>32</v>
      </c>
      <c r="M69" s="2">
        <v>11.0</v>
      </c>
      <c r="N69" s="2">
        <v>0.0</v>
      </c>
      <c r="O69" s="4">
        <v>1.0</v>
      </c>
      <c r="P69" s="6">
        <v>0.0</v>
      </c>
      <c r="Q69" s="2" t="s">
        <v>26</v>
      </c>
      <c r="R69" s="2" t="s">
        <v>27</v>
      </c>
      <c r="S69" s="2" t="s">
        <v>27</v>
      </c>
      <c r="T69" s="2" t="s">
        <v>28</v>
      </c>
      <c r="U69" s="2">
        <v>68.0</v>
      </c>
    </row>
    <row r="70">
      <c r="A70" s="1" t="s">
        <v>109</v>
      </c>
      <c r="B70" s="3">
        <v>46282.0</v>
      </c>
      <c r="C70" s="1" t="s">
        <v>137</v>
      </c>
      <c r="D70" s="2" t="s">
        <v>23</v>
      </c>
      <c r="E70" s="2" t="s">
        <v>35</v>
      </c>
      <c r="F70" s="2" t="s">
        <v>104</v>
      </c>
      <c r="G70" s="2" t="str">
        <f t="shared" si="1"/>
        <v/>
      </c>
      <c r="H70" s="2" t="str">
        <f t="shared" si="2"/>
        <v>SLA Breach (&gt;20m)</v>
      </c>
      <c r="I70" s="2">
        <f t="shared" si="3"/>
        <v>1</v>
      </c>
      <c r="J70" s="2">
        <f t="shared" si="4"/>
        <v>0</v>
      </c>
      <c r="K70" s="2">
        <v>11.0</v>
      </c>
      <c r="L70" s="2" t="s">
        <v>25</v>
      </c>
      <c r="M70" s="2">
        <v>0.0</v>
      </c>
      <c r="N70" s="2">
        <v>11.0</v>
      </c>
      <c r="O70" s="4">
        <v>0.0</v>
      </c>
      <c r="P70" s="6">
        <v>1.0</v>
      </c>
      <c r="Q70" s="2" t="s">
        <v>26</v>
      </c>
      <c r="R70" s="2" t="s">
        <v>27</v>
      </c>
      <c r="S70" s="2" t="s">
        <v>105</v>
      </c>
      <c r="T70" s="2" t="s">
        <v>106</v>
      </c>
      <c r="U70" s="2">
        <v>69.0</v>
      </c>
    </row>
    <row r="71">
      <c r="A71" s="1" t="s">
        <v>110</v>
      </c>
      <c r="B71" s="3">
        <v>46282.0</v>
      </c>
      <c r="C71" s="1" t="s">
        <v>138</v>
      </c>
      <c r="D71" s="2" t="s">
        <v>23</v>
      </c>
      <c r="E71" s="2" t="s">
        <v>24</v>
      </c>
      <c r="F71" s="2">
        <v>26.0</v>
      </c>
      <c r="G71" s="2">
        <f t="shared" si="1"/>
        <v>26</v>
      </c>
      <c r="H71" s="2" t="str">
        <f t="shared" si="2"/>
        <v>SLA Breach (&gt;20m)</v>
      </c>
      <c r="I71" s="2">
        <f t="shared" si="3"/>
        <v>0</v>
      </c>
      <c r="J71" s="2">
        <f t="shared" si="4"/>
        <v>0</v>
      </c>
      <c r="K71" s="2">
        <v>11.0</v>
      </c>
      <c r="L71" s="2" t="s">
        <v>25</v>
      </c>
      <c r="M71" s="2">
        <v>11.0</v>
      </c>
      <c r="N71" s="2">
        <v>0.0</v>
      </c>
      <c r="O71" s="4">
        <v>1.0</v>
      </c>
      <c r="P71" s="6">
        <v>0.0</v>
      </c>
      <c r="Q71" s="2" t="s">
        <v>26</v>
      </c>
      <c r="R71" s="2" t="s">
        <v>27</v>
      </c>
      <c r="S71" s="2" t="s">
        <v>27</v>
      </c>
      <c r="T71" s="2" t="s">
        <v>28</v>
      </c>
      <c r="U71" s="2">
        <v>70.0</v>
      </c>
    </row>
    <row r="72">
      <c r="A72" s="1" t="s">
        <v>111</v>
      </c>
      <c r="B72" s="3">
        <v>46282.0</v>
      </c>
      <c r="C72" s="1" t="s">
        <v>138</v>
      </c>
      <c r="D72" s="2" t="s">
        <v>23</v>
      </c>
      <c r="E72" s="2" t="s">
        <v>31</v>
      </c>
      <c r="F72" s="2">
        <v>12.0</v>
      </c>
      <c r="G72" s="2">
        <f t="shared" si="1"/>
        <v>12</v>
      </c>
      <c r="H72" s="2" t="str">
        <f t="shared" si="2"/>
        <v>On-Time (&lt;=15m)</v>
      </c>
      <c r="I72" s="2">
        <f t="shared" si="3"/>
        <v>0</v>
      </c>
      <c r="J72" s="2">
        <f t="shared" si="4"/>
        <v>0</v>
      </c>
      <c r="K72" s="2">
        <v>11.0</v>
      </c>
      <c r="L72" s="2" t="s">
        <v>32</v>
      </c>
      <c r="M72" s="2">
        <v>11.0</v>
      </c>
      <c r="N72" s="2">
        <v>0.0</v>
      </c>
      <c r="O72" s="4">
        <v>1.0</v>
      </c>
      <c r="P72" s="6">
        <v>0.0</v>
      </c>
      <c r="Q72" s="2" t="s">
        <v>26</v>
      </c>
      <c r="R72" s="2" t="s">
        <v>27</v>
      </c>
      <c r="S72" s="2" t="s">
        <v>27</v>
      </c>
      <c r="T72" s="2" t="s">
        <v>28</v>
      </c>
      <c r="U72" s="2">
        <v>71.0</v>
      </c>
    </row>
    <row r="73">
      <c r="A73" s="1" t="s">
        <v>112</v>
      </c>
      <c r="B73" s="3">
        <v>46282.0</v>
      </c>
      <c r="C73" s="1" t="s">
        <v>138</v>
      </c>
      <c r="D73" s="2" t="s">
        <v>23</v>
      </c>
      <c r="E73" s="2" t="s">
        <v>35</v>
      </c>
      <c r="F73" s="2" t="s">
        <v>104</v>
      </c>
      <c r="G73" s="2" t="str">
        <f t="shared" si="1"/>
        <v/>
      </c>
      <c r="H73" s="2" t="str">
        <f t="shared" si="2"/>
        <v>SLA Breach (&gt;20m)</v>
      </c>
      <c r="I73" s="2">
        <f t="shared" si="3"/>
        <v>1</v>
      </c>
      <c r="J73" s="2">
        <f t="shared" si="4"/>
        <v>0</v>
      </c>
      <c r="K73" s="2">
        <v>11.0</v>
      </c>
      <c r="L73" s="2" t="s">
        <v>25</v>
      </c>
      <c r="M73" s="2">
        <v>0.0</v>
      </c>
      <c r="N73" s="2">
        <v>11.0</v>
      </c>
      <c r="O73" s="4">
        <v>0.0</v>
      </c>
      <c r="P73" s="6">
        <v>1.0</v>
      </c>
      <c r="Q73" s="2" t="s">
        <v>26</v>
      </c>
      <c r="R73" s="2" t="s">
        <v>27</v>
      </c>
      <c r="S73" s="2" t="s">
        <v>105</v>
      </c>
      <c r="T73" s="2" t="s">
        <v>106</v>
      </c>
      <c r="U73" s="2">
        <v>72.0</v>
      </c>
    </row>
    <row r="74">
      <c r="A74" s="1" t="s">
        <v>114</v>
      </c>
      <c r="B74" s="3">
        <v>46282.0</v>
      </c>
      <c r="C74" s="1" t="s">
        <v>139</v>
      </c>
      <c r="D74" s="2" t="s">
        <v>23</v>
      </c>
      <c r="E74" s="2" t="s">
        <v>24</v>
      </c>
      <c r="F74" s="2" t="s">
        <v>104</v>
      </c>
      <c r="G74" s="2" t="str">
        <f t="shared" si="1"/>
        <v/>
      </c>
      <c r="H74" s="2" t="str">
        <f t="shared" si="2"/>
        <v>SLA Breach (&gt;20m)</v>
      </c>
      <c r="I74" s="2">
        <f t="shared" si="3"/>
        <v>1</v>
      </c>
      <c r="J74" s="2">
        <f t="shared" si="4"/>
        <v>0</v>
      </c>
      <c r="K74" s="2">
        <v>11.0</v>
      </c>
      <c r="L74" s="2" t="s">
        <v>25</v>
      </c>
      <c r="M74" s="2">
        <v>0.0</v>
      </c>
      <c r="N74" s="2">
        <v>11.0</v>
      </c>
      <c r="O74" s="4">
        <v>0.0</v>
      </c>
      <c r="P74" s="6">
        <v>1.0</v>
      </c>
      <c r="Q74" s="2" t="s">
        <v>26</v>
      </c>
      <c r="R74" s="2" t="s">
        <v>27</v>
      </c>
      <c r="S74" s="2" t="s">
        <v>105</v>
      </c>
      <c r="T74" s="2" t="s">
        <v>106</v>
      </c>
      <c r="U74" s="2">
        <v>73.0</v>
      </c>
    </row>
    <row r="75">
      <c r="A75" s="1" t="s">
        <v>115</v>
      </c>
      <c r="B75" s="3">
        <v>46282.0</v>
      </c>
      <c r="C75" s="1" t="s">
        <v>139</v>
      </c>
      <c r="D75" s="2" t="s">
        <v>23</v>
      </c>
      <c r="E75" s="2" t="s">
        <v>31</v>
      </c>
      <c r="F75" s="2">
        <v>12.0</v>
      </c>
      <c r="G75" s="2">
        <f t="shared" si="1"/>
        <v>12</v>
      </c>
      <c r="H75" s="2" t="str">
        <f t="shared" si="2"/>
        <v>On-Time (&lt;=15m)</v>
      </c>
      <c r="I75" s="2">
        <f t="shared" si="3"/>
        <v>0</v>
      </c>
      <c r="J75" s="2">
        <f t="shared" si="4"/>
        <v>0</v>
      </c>
      <c r="K75" s="2">
        <v>11.0</v>
      </c>
      <c r="L75" s="2" t="s">
        <v>32</v>
      </c>
      <c r="M75" s="2">
        <v>11.0</v>
      </c>
      <c r="N75" s="2">
        <v>0.0</v>
      </c>
      <c r="O75" s="4">
        <v>1.0</v>
      </c>
      <c r="P75" s="6">
        <v>0.0</v>
      </c>
      <c r="Q75" s="2" t="s">
        <v>26</v>
      </c>
      <c r="R75" s="2" t="s">
        <v>27</v>
      </c>
      <c r="S75" s="2" t="s">
        <v>27</v>
      </c>
      <c r="T75" s="2" t="s">
        <v>28</v>
      </c>
      <c r="U75" s="2">
        <v>74.0</v>
      </c>
    </row>
    <row r="76">
      <c r="A76" s="1" t="s">
        <v>116</v>
      </c>
      <c r="B76" s="3">
        <v>46282.0</v>
      </c>
      <c r="C76" s="1" t="s">
        <v>139</v>
      </c>
      <c r="D76" s="2" t="s">
        <v>23</v>
      </c>
      <c r="E76" s="2" t="s">
        <v>35</v>
      </c>
      <c r="F76" s="2" t="s">
        <v>104</v>
      </c>
      <c r="G76" s="2" t="str">
        <f t="shared" si="1"/>
        <v/>
      </c>
      <c r="H76" s="2" t="str">
        <f t="shared" si="2"/>
        <v>SLA Breach (&gt;20m)</v>
      </c>
      <c r="I76" s="2">
        <f t="shared" si="3"/>
        <v>1</v>
      </c>
      <c r="J76" s="2">
        <f t="shared" si="4"/>
        <v>0</v>
      </c>
      <c r="K76" s="2">
        <v>11.0</v>
      </c>
      <c r="L76" s="2" t="s">
        <v>25</v>
      </c>
      <c r="M76" s="2">
        <v>0.0</v>
      </c>
      <c r="N76" s="2">
        <v>11.0</v>
      </c>
      <c r="O76" s="4">
        <v>0.0</v>
      </c>
      <c r="P76" s="6">
        <v>1.0</v>
      </c>
      <c r="Q76" s="2" t="s">
        <v>26</v>
      </c>
      <c r="R76" s="2" t="s">
        <v>27</v>
      </c>
      <c r="S76" s="2" t="s">
        <v>105</v>
      </c>
      <c r="T76" s="2" t="s">
        <v>106</v>
      </c>
      <c r="U76" s="2">
        <v>75.0</v>
      </c>
    </row>
    <row r="77">
      <c r="A77" s="1" t="s">
        <v>117</v>
      </c>
      <c r="B77" s="3">
        <v>46282.0</v>
      </c>
      <c r="C77" s="1" t="s">
        <v>140</v>
      </c>
      <c r="D77" s="2" t="s">
        <v>23</v>
      </c>
      <c r="E77" s="2" t="s">
        <v>24</v>
      </c>
      <c r="F77" s="2" t="s">
        <v>104</v>
      </c>
      <c r="G77" s="2" t="str">
        <f t="shared" si="1"/>
        <v/>
      </c>
      <c r="H77" s="2" t="str">
        <f t="shared" si="2"/>
        <v>SLA Breach (&gt;20m)</v>
      </c>
      <c r="I77" s="2">
        <f t="shared" si="3"/>
        <v>0</v>
      </c>
      <c r="J77" s="2">
        <f t="shared" si="4"/>
        <v>0</v>
      </c>
      <c r="K77" s="2">
        <v>11.0</v>
      </c>
      <c r="L77" s="2" t="s">
        <v>25</v>
      </c>
      <c r="M77" s="2">
        <v>11.0</v>
      </c>
      <c r="N77" s="2">
        <v>0.0</v>
      </c>
      <c r="O77" s="4">
        <v>1.0</v>
      </c>
      <c r="P77" s="6">
        <v>0.0</v>
      </c>
      <c r="Q77" s="2" t="s">
        <v>26</v>
      </c>
      <c r="R77" s="2" t="s">
        <v>27</v>
      </c>
      <c r="S77" s="2" t="s">
        <v>105</v>
      </c>
      <c r="T77" s="2" t="s">
        <v>106</v>
      </c>
      <c r="U77" s="2">
        <v>76.0</v>
      </c>
    </row>
    <row r="78">
      <c r="A78" s="1" t="s">
        <v>118</v>
      </c>
      <c r="B78" s="3">
        <v>46282.0</v>
      </c>
      <c r="C78" s="1" t="s">
        <v>140</v>
      </c>
      <c r="D78" s="2" t="s">
        <v>23</v>
      </c>
      <c r="E78" s="2" t="s">
        <v>31</v>
      </c>
      <c r="F78" s="2">
        <v>11.0</v>
      </c>
      <c r="G78" s="2">
        <f t="shared" si="1"/>
        <v>11</v>
      </c>
      <c r="H78" s="2" t="str">
        <f t="shared" si="2"/>
        <v>On-Time (&lt;=15m)</v>
      </c>
      <c r="I78" s="2">
        <f t="shared" si="3"/>
        <v>0</v>
      </c>
      <c r="J78" s="2">
        <f t="shared" si="4"/>
        <v>0</v>
      </c>
      <c r="K78" s="2">
        <v>11.0</v>
      </c>
      <c r="L78" s="2" t="s">
        <v>32</v>
      </c>
      <c r="M78" s="2">
        <v>11.0</v>
      </c>
      <c r="N78" s="2">
        <v>0.0</v>
      </c>
      <c r="O78" s="4">
        <v>1.0</v>
      </c>
      <c r="P78" s="6">
        <v>0.0</v>
      </c>
      <c r="Q78" s="2" t="s">
        <v>26</v>
      </c>
      <c r="R78" s="2" t="s">
        <v>27</v>
      </c>
      <c r="S78" s="2" t="s">
        <v>27</v>
      </c>
      <c r="T78" s="2" t="s">
        <v>28</v>
      </c>
      <c r="U78" s="2">
        <v>77.0</v>
      </c>
    </row>
    <row r="79">
      <c r="A79" s="1" t="s">
        <v>119</v>
      </c>
      <c r="B79" s="3">
        <v>46282.0</v>
      </c>
      <c r="C79" s="1" t="s">
        <v>140</v>
      </c>
      <c r="D79" s="2" t="s">
        <v>23</v>
      </c>
      <c r="E79" s="2" t="s">
        <v>35</v>
      </c>
      <c r="F79" s="2" t="s">
        <v>104</v>
      </c>
      <c r="G79" s="2" t="str">
        <f t="shared" si="1"/>
        <v/>
      </c>
      <c r="H79" s="2" t="str">
        <f t="shared" si="2"/>
        <v>SLA Breach (&gt;20m)</v>
      </c>
      <c r="I79" s="2">
        <f t="shared" si="3"/>
        <v>1</v>
      </c>
      <c r="J79" s="2">
        <f t="shared" si="4"/>
        <v>0</v>
      </c>
      <c r="K79" s="2">
        <v>11.0</v>
      </c>
      <c r="L79" s="2" t="s">
        <v>25</v>
      </c>
      <c r="M79" s="2">
        <v>0.0</v>
      </c>
      <c r="N79" s="2">
        <v>11.0</v>
      </c>
      <c r="O79" s="4">
        <v>0.0</v>
      </c>
      <c r="P79" s="6">
        <v>1.0</v>
      </c>
      <c r="Q79" s="2" t="s">
        <v>26</v>
      </c>
      <c r="R79" s="2" t="s">
        <v>27</v>
      </c>
      <c r="S79" s="2" t="s">
        <v>105</v>
      </c>
      <c r="T79" s="2" t="s">
        <v>106</v>
      </c>
      <c r="U79" s="2">
        <v>78.0</v>
      </c>
    </row>
    <row r="80">
      <c r="A80" s="8"/>
      <c r="C80" s="8"/>
      <c r="O80" s="9"/>
    </row>
    <row r="81">
      <c r="A81" s="8"/>
      <c r="C81" s="8"/>
      <c r="O81" s="9"/>
    </row>
    <row r="82">
      <c r="A82" s="8"/>
      <c r="C82" s="8"/>
      <c r="O82" s="9"/>
    </row>
    <row r="83">
      <c r="A83" s="8"/>
      <c r="C83" s="8"/>
      <c r="O83" s="9"/>
    </row>
    <row r="84">
      <c r="A84" s="8"/>
      <c r="C84" s="8"/>
      <c r="O84" s="9"/>
    </row>
    <row r="85">
      <c r="A85" s="8"/>
      <c r="C85" s="8"/>
      <c r="O85" s="9"/>
    </row>
    <row r="86">
      <c r="A86" s="8"/>
      <c r="C86" s="8"/>
      <c r="O86" s="9"/>
    </row>
    <row r="87">
      <c r="A87" s="8"/>
      <c r="C87" s="8"/>
      <c r="O87" s="9"/>
    </row>
    <row r="88">
      <c r="A88" s="8"/>
      <c r="C88" s="8"/>
      <c r="O88" s="9"/>
    </row>
    <row r="89">
      <c r="A89" s="8"/>
      <c r="C89" s="8"/>
      <c r="O89" s="9"/>
    </row>
    <row r="90">
      <c r="A90" s="8"/>
      <c r="C90" s="8"/>
      <c r="O90" s="9"/>
    </row>
    <row r="91">
      <c r="A91" s="8"/>
      <c r="C91" s="8"/>
      <c r="O91" s="9"/>
    </row>
    <row r="92">
      <c r="A92" s="8"/>
      <c r="C92" s="8"/>
      <c r="O92" s="9"/>
    </row>
    <row r="93">
      <c r="A93" s="8"/>
      <c r="C93" s="8"/>
      <c r="O93" s="9"/>
    </row>
    <row r="94">
      <c r="A94" s="8"/>
      <c r="C94" s="8"/>
      <c r="O94" s="9"/>
    </row>
    <row r="95">
      <c r="A95" s="8"/>
      <c r="C95" s="8"/>
      <c r="O95" s="9"/>
    </row>
    <row r="96">
      <c r="A96" s="8"/>
      <c r="C96" s="8"/>
      <c r="O96" s="9"/>
    </row>
    <row r="97">
      <c r="A97" s="8"/>
      <c r="C97" s="8"/>
      <c r="O97" s="9"/>
    </row>
    <row r="98">
      <c r="A98" s="8"/>
      <c r="C98" s="8"/>
      <c r="O98" s="9"/>
    </row>
    <row r="99">
      <c r="A99" s="8"/>
      <c r="C99" s="8"/>
      <c r="O99" s="9"/>
    </row>
    <row r="100">
      <c r="A100" s="8"/>
      <c r="C100" s="8"/>
      <c r="O100" s="9"/>
    </row>
    <row r="101">
      <c r="A101" s="8"/>
      <c r="C101" s="8"/>
      <c r="O101" s="9"/>
    </row>
    <row r="102">
      <c r="A102" s="8"/>
      <c r="C102" s="8"/>
      <c r="O102" s="9"/>
    </row>
    <row r="103">
      <c r="A103" s="8"/>
      <c r="C103" s="8"/>
      <c r="O103" s="9"/>
    </row>
    <row r="104">
      <c r="A104" s="8"/>
      <c r="C104" s="8"/>
      <c r="O104" s="9"/>
    </row>
    <row r="105">
      <c r="A105" s="8"/>
      <c r="C105" s="8"/>
      <c r="O105" s="9"/>
    </row>
    <row r="106">
      <c r="A106" s="8"/>
      <c r="C106" s="8"/>
      <c r="O106" s="9"/>
    </row>
    <row r="107">
      <c r="A107" s="8"/>
      <c r="C107" s="8"/>
      <c r="O107" s="9"/>
    </row>
    <row r="108">
      <c r="A108" s="8"/>
      <c r="C108" s="8"/>
      <c r="O108" s="9"/>
    </row>
    <row r="109">
      <c r="A109" s="8"/>
      <c r="C109" s="8"/>
      <c r="O109" s="9"/>
    </row>
    <row r="110">
      <c r="A110" s="8"/>
      <c r="C110" s="8"/>
      <c r="O110" s="9"/>
    </row>
    <row r="111">
      <c r="A111" s="8"/>
      <c r="C111" s="8"/>
      <c r="O111" s="9"/>
    </row>
    <row r="112">
      <c r="A112" s="8"/>
      <c r="C112" s="8"/>
      <c r="O112" s="9"/>
    </row>
    <row r="113">
      <c r="A113" s="8"/>
      <c r="C113" s="8"/>
      <c r="O113" s="9"/>
    </row>
    <row r="114">
      <c r="A114" s="8"/>
      <c r="C114" s="8"/>
      <c r="O114" s="9"/>
    </row>
    <row r="115">
      <c r="A115" s="8"/>
      <c r="C115" s="8"/>
      <c r="O115" s="9"/>
    </row>
    <row r="116">
      <c r="A116" s="8"/>
      <c r="C116" s="8"/>
      <c r="O116" s="9"/>
    </row>
    <row r="117">
      <c r="A117" s="8"/>
      <c r="C117" s="8"/>
      <c r="O117" s="9"/>
    </row>
    <row r="118">
      <c r="A118" s="8"/>
      <c r="C118" s="8"/>
      <c r="O118" s="9"/>
    </row>
    <row r="119">
      <c r="A119" s="8"/>
      <c r="C119" s="8"/>
      <c r="O119" s="9"/>
    </row>
    <row r="120">
      <c r="A120" s="8"/>
      <c r="C120" s="8"/>
      <c r="O120" s="9"/>
    </row>
    <row r="121">
      <c r="A121" s="8"/>
      <c r="C121" s="8"/>
      <c r="O121" s="9"/>
    </row>
    <row r="122">
      <c r="A122" s="8"/>
      <c r="C122" s="8"/>
      <c r="O122" s="9"/>
    </row>
    <row r="123">
      <c r="A123" s="8"/>
      <c r="C123" s="8"/>
      <c r="O123" s="9"/>
    </row>
    <row r="124">
      <c r="A124" s="8"/>
      <c r="C124" s="8"/>
      <c r="O124" s="9"/>
    </row>
    <row r="125">
      <c r="A125" s="8"/>
      <c r="C125" s="8"/>
      <c r="O125" s="9"/>
    </row>
    <row r="126">
      <c r="A126" s="8"/>
      <c r="C126" s="8"/>
      <c r="O126" s="9"/>
    </row>
    <row r="127">
      <c r="A127" s="8"/>
      <c r="C127" s="8"/>
      <c r="O127" s="9"/>
    </row>
    <row r="128">
      <c r="A128" s="8"/>
      <c r="C128" s="8"/>
      <c r="O128" s="9"/>
    </row>
    <row r="129">
      <c r="A129" s="8"/>
      <c r="C129" s="8"/>
      <c r="O129" s="9"/>
    </row>
    <row r="130">
      <c r="A130" s="8"/>
      <c r="C130" s="8"/>
      <c r="O130" s="9"/>
    </row>
    <row r="131">
      <c r="A131" s="8"/>
      <c r="C131" s="8"/>
      <c r="O131" s="9"/>
    </row>
    <row r="132">
      <c r="A132" s="8"/>
      <c r="C132" s="8"/>
      <c r="O132" s="9"/>
    </row>
    <row r="133">
      <c r="A133" s="8"/>
      <c r="C133" s="8"/>
      <c r="O133" s="9"/>
    </row>
    <row r="134">
      <c r="A134" s="8"/>
      <c r="C134" s="8"/>
      <c r="O134" s="9"/>
    </row>
    <row r="135">
      <c r="A135" s="8"/>
      <c r="C135" s="8"/>
      <c r="O135" s="9"/>
    </row>
    <row r="136">
      <c r="A136" s="8"/>
      <c r="C136" s="8"/>
      <c r="O136" s="9"/>
    </row>
    <row r="137">
      <c r="A137" s="8"/>
      <c r="C137" s="8"/>
      <c r="O137" s="9"/>
    </row>
    <row r="138">
      <c r="A138" s="8"/>
      <c r="C138" s="8"/>
      <c r="O138" s="9"/>
    </row>
    <row r="139">
      <c r="A139" s="8"/>
      <c r="C139" s="8"/>
      <c r="O139" s="9"/>
    </row>
    <row r="140">
      <c r="A140" s="8"/>
      <c r="C140" s="8"/>
      <c r="O140" s="9"/>
    </row>
    <row r="141">
      <c r="A141" s="8"/>
      <c r="C141" s="8"/>
      <c r="O141" s="9"/>
    </row>
    <row r="142">
      <c r="A142" s="8"/>
      <c r="C142" s="8"/>
      <c r="O142" s="9"/>
    </row>
    <row r="143">
      <c r="A143" s="8"/>
      <c r="C143" s="8"/>
      <c r="O143" s="9"/>
    </row>
    <row r="144">
      <c r="A144" s="8"/>
      <c r="C144" s="8"/>
      <c r="O144" s="9"/>
    </row>
    <row r="145">
      <c r="A145" s="8"/>
      <c r="C145" s="8"/>
      <c r="O145" s="9"/>
    </row>
    <row r="146">
      <c r="A146" s="8"/>
      <c r="C146" s="8"/>
      <c r="O146" s="9"/>
    </row>
    <row r="147">
      <c r="A147" s="8"/>
      <c r="C147" s="8"/>
      <c r="O147" s="9"/>
    </row>
    <row r="148">
      <c r="A148" s="8"/>
      <c r="C148" s="8"/>
      <c r="O148" s="9"/>
    </row>
    <row r="149">
      <c r="A149" s="8"/>
      <c r="C149" s="8"/>
      <c r="O149" s="9"/>
    </row>
    <row r="150">
      <c r="A150" s="8"/>
      <c r="C150" s="8"/>
      <c r="O150" s="9"/>
    </row>
    <row r="151">
      <c r="A151" s="8"/>
      <c r="C151" s="8"/>
      <c r="O151" s="9"/>
    </row>
    <row r="152">
      <c r="A152" s="8"/>
      <c r="C152" s="8"/>
      <c r="O152" s="9"/>
    </row>
    <row r="153">
      <c r="A153" s="8"/>
      <c r="C153" s="8"/>
      <c r="O153" s="9"/>
    </row>
    <row r="154">
      <c r="A154" s="8"/>
      <c r="C154" s="8"/>
      <c r="O154" s="9"/>
    </row>
    <row r="155">
      <c r="A155" s="8"/>
      <c r="C155" s="8"/>
      <c r="O155" s="9"/>
    </row>
    <row r="156">
      <c r="A156" s="8"/>
      <c r="C156" s="8"/>
      <c r="O156" s="9"/>
    </row>
    <row r="157">
      <c r="A157" s="8"/>
      <c r="C157" s="8"/>
      <c r="O157" s="9"/>
    </row>
    <row r="158">
      <c r="A158" s="8"/>
      <c r="C158" s="8"/>
      <c r="O158" s="9"/>
    </row>
    <row r="159">
      <c r="A159" s="8"/>
      <c r="C159" s="8"/>
      <c r="O159" s="9"/>
    </row>
    <row r="160">
      <c r="A160" s="8"/>
      <c r="C160" s="8"/>
      <c r="O160" s="9"/>
    </row>
    <row r="161">
      <c r="A161" s="8"/>
      <c r="C161" s="8"/>
      <c r="O161" s="9"/>
    </row>
    <row r="162">
      <c r="A162" s="8"/>
      <c r="C162" s="8"/>
      <c r="O162" s="9"/>
    </row>
    <row r="163">
      <c r="A163" s="8"/>
      <c r="C163" s="8"/>
      <c r="O163" s="9"/>
    </row>
    <row r="164">
      <c r="A164" s="8"/>
      <c r="C164" s="8"/>
      <c r="O164" s="9"/>
    </row>
    <row r="165">
      <c r="A165" s="8"/>
      <c r="C165" s="8"/>
      <c r="O165" s="9"/>
    </row>
    <row r="166">
      <c r="A166" s="8"/>
      <c r="C166" s="8"/>
      <c r="O166" s="9"/>
    </row>
    <row r="167">
      <c r="A167" s="8"/>
      <c r="C167" s="8"/>
      <c r="O167" s="9"/>
    </row>
    <row r="168">
      <c r="A168" s="8"/>
      <c r="C168" s="8"/>
      <c r="O168" s="9"/>
    </row>
    <row r="169">
      <c r="A169" s="8"/>
      <c r="C169" s="8"/>
      <c r="O169" s="9"/>
    </row>
    <row r="170">
      <c r="A170" s="8"/>
      <c r="C170" s="8"/>
      <c r="O170" s="9"/>
    </row>
    <row r="171">
      <c r="A171" s="8"/>
      <c r="C171" s="8"/>
      <c r="O171" s="9"/>
    </row>
    <row r="172">
      <c r="A172" s="8"/>
      <c r="C172" s="8"/>
      <c r="O172" s="9"/>
    </row>
    <row r="173">
      <c r="A173" s="8"/>
      <c r="C173" s="8"/>
      <c r="O173" s="9"/>
    </row>
    <row r="174">
      <c r="A174" s="8"/>
      <c r="C174" s="8"/>
      <c r="O174" s="9"/>
    </row>
    <row r="175">
      <c r="A175" s="8"/>
      <c r="C175" s="8"/>
      <c r="O175" s="9"/>
    </row>
    <row r="176">
      <c r="A176" s="8"/>
      <c r="C176" s="8"/>
      <c r="O176" s="9"/>
    </row>
    <row r="177">
      <c r="A177" s="8"/>
      <c r="C177" s="8"/>
      <c r="O177" s="9"/>
    </row>
    <row r="178">
      <c r="A178" s="8"/>
      <c r="C178" s="8"/>
      <c r="O178" s="9"/>
    </row>
    <row r="179">
      <c r="A179" s="8"/>
      <c r="C179" s="8"/>
      <c r="O179" s="9"/>
    </row>
    <row r="180">
      <c r="A180" s="8"/>
      <c r="C180" s="8"/>
      <c r="O180" s="9"/>
    </row>
    <row r="181">
      <c r="A181" s="8"/>
      <c r="C181" s="8"/>
      <c r="O181" s="9"/>
    </row>
    <row r="182">
      <c r="A182" s="8"/>
      <c r="C182" s="8"/>
      <c r="O182" s="9"/>
    </row>
    <row r="183">
      <c r="A183" s="8"/>
      <c r="C183" s="8"/>
      <c r="O183" s="9"/>
    </row>
    <row r="184">
      <c r="A184" s="8"/>
      <c r="C184" s="8"/>
      <c r="O184" s="9"/>
    </row>
    <row r="185">
      <c r="A185" s="8"/>
      <c r="C185" s="8"/>
      <c r="O185" s="9"/>
    </row>
    <row r="186">
      <c r="A186" s="8"/>
      <c r="C186" s="8"/>
      <c r="O186" s="9"/>
    </row>
    <row r="187">
      <c r="A187" s="8"/>
      <c r="C187" s="8"/>
      <c r="O187" s="9"/>
    </row>
    <row r="188">
      <c r="A188" s="8"/>
      <c r="C188" s="8"/>
      <c r="O188" s="9"/>
    </row>
    <row r="189">
      <c r="A189" s="8"/>
      <c r="C189" s="8"/>
      <c r="O189" s="9"/>
    </row>
    <row r="190">
      <c r="A190" s="8"/>
      <c r="C190" s="8"/>
      <c r="O190" s="9"/>
    </row>
    <row r="191">
      <c r="A191" s="8"/>
      <c r="C191" s="8"/>
      <c r="O191" s="9"/>
    </row>
    <row r="192">
      <c r="A192" s="8"/>
      <c r="C192" s="8"/>
      <c r="O192" s="9"/>
    </row>
    <row r="193">
      <c r="A193" s="8"/>
      <c r="C193" s="8"/>
      <c r="O193" s="9"/>
    </row>
    <row r="194">
      <c r="A194" s="8"/>
      <c r="C194" s="8"/>
      <c r="O194" s="9"/>
    </row>
    <row r="195">
      <c r="A195" s="8"/>
      <c r="C195" s="8"/>
      <c r="O195" s="9"/>
    </row>
    <row r="196">
      <c r="A196" s="8"/>
      <c r="C196" s="8"/>
      <c r="O196" s="9"/>
    </row>
    <row r="197">
      <c r="A197" s="8"/>
      <c r="C197" s="8"/>
      <c r="O197" s="9"/>
    </row>
    <row r="198">
      <c r="A198" s="8"/>
      <c r="C198" s="8"/>
      <c r="O198" s="9"/>
    </row>
    <row r="199">
      <c r="A199" s="8"/>
      <c r="C199" s="8"/>
      <c r="O199" s="9"/>
    </row>
    <row r="200">
      <c r="A200" s="8"/>
      <c r="C200" s="8"/>
      <c r="O200" s="9"/>
    </row>
    <row r="201">
      <c r="A201" s="8"/>
      <c r="C201" s="8"/>
      <c r="O201" s="9"/>
    </row>
    <row r="202">
      <c r="A202" s="8"/>
      <c r="C202" s="8"/>
      <c r="O202" s="9"/>
    </row>
    <row r="203">
      <c r="A203" s="8"/>
      <c r="C203" s="8"/>
      <c r="O203" s="9"/>
    </row>
    <row r="204">
      <c r="A204" s="8"/>
      <c r="C204" s="8"/>
      <c r="O204" s="9"/>
    </row>
    <row r="205">
      <c r="A205" s="8"/>
      <c r="C205" s="8"/>
      <c r="O205" s="9"/>
    </row>
    <row r="206">
      <c r="A206" s="8"/>
      <c r="C206" s="8"/>
      <c r="O206" s="9"/>
    </row>
    <row r="207">
      <c r="A207" s="8"/>
      <c r="C207" s="8"/>
      <c r="O207" s="9"/>
    </row>
    <row r="208">
      <c r="A208" s="8"/>
      <c r="C208" s="8"/>
      <c r="O208" s="9"/>
    </row>
    <row r="209">
      <c r="A209" s="8"/>
      <c r="C209" s="8"/>
      <c r="O209" s="9"/>
    </row>
    <row r="210">
      <c r="A210" s="8"/>
      <c r="C210" s="8"/>
      <c r="O210" s="9"/>
    </row>
    <row r="211">
      <c r="A211" s="8"/>
      <c r="C211" s="8"/>
      <c r="O211" s="9"/>
    </row>
    <row r="212">
      <c r="A212" s="8"/>
      <c r="C212" s="8"/>
      <c r="O212" s="9"/>
    </row>
    <row r="213">
      <c r="A213" s="8"/>
      <c r="C213" s="8"/>
      <c r="O213" s="9"/>
    </row>
    <row r="214">
      <c r="A214" s="8"/>
      <c r="C214" s="8"/>
      <c r="O214" s="9"/>
    </row>
    <row r="215">
      <c r="A215" s="8"/>
      <c r="C215" s="8"/>
      <c r="O215" s="9"/>
    </row>
    <row r="216">
      <c r="A216" s="8"/>
      <c r="C216" s="8"/>
      <c r="O216" s="9"/>
    </row>
    <row r="217">
      <c r="A217" s="8"/>
      <c r="C217" s="8"/>
      <c r="O217" s="9"/>
    </row>
    <row r="218">
      <c r="A218" s="8"/>
      <c r="C218" s="8"/>
      <c r="O218" s="9"/>
    </row>
    <row r="219">
      <c r="A219" s="8"/>
      <c r="C219" s="8"/>
      <c r="O219" s="9"/>
    </row>
    <row r="220">
      <c r="A220" s="8"/>
      <c r="C220" s="8"/>
      <c r="O220" s="9"/>
    </row>
    <row r="221">
      <c r="A221" s="8"/>
      <c r="C221" s="8"/>
      <c r="O221" s="9"/>
    </row>
    <row r="222">
      <c r="A222" s="8"/>
      <c r="C222" s="8"/>
      <c r="O222" s="9"/>
    </row>
    <row r="223">
      <c r="A223" s="8"/>
      <c r="C223" s="8"/>
      <c r="O223" s="9"/>
    </row>
    <row r="224">
      <c r="A224" s="8"/>
      <c r="C224" s="8"/>
      <c r="O224" s="9"/>
    </row>
    <row r="225">
      <c r="A225" s="8"/>
      <c r="C225" s="8"/>
      <c r="O225" s="9"/>
    </row>
    <row r="226">
      <c r="A226" s="8"/>
      <c r="C226" s="8"/>
      <c r="O226" s="9"/>
    </row>
    <row r="227">
      <c r="A227" s="8"/>
      <c r="C227" s="8"/>
      <c r="O227" s="9"/>
    </row>
    <row r="228">
      <c r="A228" s="8"/>
      <c r="C228" s="8"/>
      <c r="O228" s="9"/>
    </row>
    <row r="229">
      <c r="A229" s="8"/>
      <c r="C229" s="8"/>
      <c r="O229" s="9"/>
    </row>
    <row r="230">
      <c r="A230" s="8"/>
      <c r="C230" s="8"/>
      <c r="O230" s="9"/>
    </row>
    <row r="231">
      <c r="A231" s="8"/>
      <c r="C231" s="8"/>
      <c r="O231" s="9"/>
    </row>
    <row r="232">
      <c r="A232" s="8"/>
      <c r="C232" s="8"/>
      <c r="O232" s="9"/>
    </row>
    <row r="233">
      <c r="A233" s="8"/>
      <c r="C233" s="8"/>
      <c r="O233" s="9"/>
    </row>
    <row r="234">
      <c r="A234" s="8"/>
      <c r="C234" s="8"/>
      <c r="O234" s="9"/>
    </row>
    <row r="235">
      <c r="A235" s="8"/>
      <c r="C235" s="8"/>
      <c r="O235" s="9"/>
    </row>
    <row r="236">
      <c r="A236" s="8"/>
      <c r="C236" s="8"/>
      <c r="O236" s="9"/>
    </row>
    <row r="237">
      <c r="A237" s="8"/>
      <c r="C237" s="8"/>
      <c r="O237" s="9"/>
    </row>
    <row r="238">
      <c r="A238" s="8"/>
      <c r="C238" s="8"/>
      <c r="O238" s="9"/>
    </row>
    <row r="239">
      <c r="A239" s="8"/>
      <c r="C239" s="8"/>
      <c r="O239" s="9"/>
    </row>
    <row r="240">
      <c r="A240" s="8"/>
      <c r="C240" s="8"/>
      <c r="O240" s="9"/>
    </row>
    <row r="241">
      <c r="A241" s="8"/>
      <c r="C241" s="8"/>
      <c r="O241" s="9"/>
    </row>
    <row r="242">
      <c r="A242" s="8"/>
      <c r="C242" s="8"/>
      <c r="O242" s="9"/>
    </row>
    <row r="243">
      <c r="A243" s="8"/>
      <c r="C243" s="8"/>
      <c r="O243" s="9"/>
    </row>
    <row r="244">
      <c r="A244" s="8"/>
      <c r="C244" s="8"/>
      <c r="O244" s="9"/>
    </row>
    <row r="245">
      <c r="A245" s="8"/>
      <c r="C245" s="8"/>
      <c r="O245" s="9"/>
    </row>
    <row r="246">
      <c r="A246" s="8"/>
      <c r="C246" s="8"/>
      <c r="O246" s="9"/>
    </row>
    <row r="247">
      <c r="A247" s="8"/>
      <c r="C247" s="8"/>
      <c r="O247" s="9"/>
    </row>
    <row r="248">
      <c r="A248" s="8"/>
      <c r="C248" s="8"/>
      <c r="O248" s="9"/>
    </row>
    <row r="249">
      <c r="A249" s="8"/>
      <c r="C249" s="8"/>
      <c r="O249" s="9"/>
    </row>
    <row r="250">
      <c r="A250" s="8"/>
      <c r="C250" s="8"/>
      <c r="O250" s="9"/>
    </row>
    <row r="251">
      <c r="A251" s="8"/>
      <c r="C251" s="8"/>
      <c r="O251" s="9"/>
    </row>
    <row r="252">
      <c r="A252" s="8"/>
      <c r="C252" s="8"/>
      <c r="O252" s="9"/>
    </row>
    <row r="253">
      <c r="A253" s="8"/>
      <c r="C253" s="8"/>
      <c r="O253" s="9"/>
    </row>
    <row r="254">
      <c r="A254" s="8"/>
      <c r="C254" s="8"/>
      <c r="O254" s="9"/>
    </row>
    <row r="255">
      <c r="A255" s="8"/>
      <c r="C255" s="8"/>
      <c r="O255" s="9"/>
    </row>
    <row r="256">
      <c r="A256" s="8"/>
      <c r="C256" s="8"/>
      <c r="O256" s="9"/>
    </row>
    <row r="257">
      <c r="A257" s="8"/>
      <c r="C257" s="8"/>
      <c r="O257" s="9"/>
    </row>
    <row r="258">
      <c r="A258" s="8"/>
      <c r="C258" s="8"/>
      <c r="O258" s="9"/>
    </row>
    <row r="259">
      <c r="A259" s="8"/>
      <c r="C259" s="8"/>
      <c r="O259" s="9"/>
    </row>
    <row r="260">
      <c r="A260" s="8"/>
      <c r="C260" s="8"/>
      <c r="O260" s="9"/>
    </row>
    <row r="261">
      <c r="A261" s="8"/>
      <c r="C261" s="8"/>
      <c r="O261" s="9"/>
    </row>
    <row r="262">
      <c r="A262" s="8"/>
      <c r="C262" s="8"/>
      <c r="O262" s="9"/>
    </row>
    <row r="263">
      <c r="A263" s="8"/>
      <c r="C263" s="8"/>
      <c r="O263" s="9"/>
    </row>
    <row r="264">
      <c r="A264" s="8"/>
      <c r="C264" s="8"/>
      <c r="O264" s="9"/>
    </row>
    <row r="265">
      <c r="A265" s="8"/>
      <c r="C265" s="8"/>
      <c r="O265" s="9"/>
    </row>
    <row r="266">
      <c r="A266" s="8"/>
      <c r="C266" s="8"/>
      <c r="O266" s="9"/>
    </row>
    <row r="267">
      <c r="A267" s="8"/>
      <c r="C267" s="8"/>
      <c r="O267" s="9"/>
    </row>
    <row r="268">
      <c r="A268" s="8"/>
      <c r="C268" s="8"/>
      <c r="O268" s="9"/>
    </row>
    <row r="269">
      <c r="A269" s="8"/>
      <c r="C269" s="8"/>
      <c r="O269" s="9"/>
    </row>
    <row r="270">
      <c r="A270" s="8"/>
      <c r="C270" s="8"/>
      <c r="O270" s="9"/>
    </row>
    <row r="271">
      <c r="A271" s="8"/>
      <c r="C271" s="8"/>
      <c r="O271" s="9"/>
    </row>
    <row r="272">
      <c r="A272" s="8"/>
      <c r="C272" s="8"/>
      <c r="O272" s="9"/>
    </row>
    <row r="273">
      <c r="A273" s="8"/>
      <c r="C273" s="8"/>
      <c r="O273" s="9"/>
    </row>
    <row r="274">
      <c r="A274" s="8"/>
      <c r="C274" s="8"/>
      <c r="O274" s="9"/>
    </row>
    <row r="275">
      <c r="A275" s="8"/>
      <c r="C275" s="8"/>
      <c r="O275" s="9"/>
    </row>
    <row r="276">
      <c r="A276" s="8"/>
      <c r="C276" s="8"/>
      <c r="O276" s="9"/>
    </row>
    <row r="277">
      <c r="A277" s="8"/>
      <c r="C277" s="8"/>
      <c r="O277" s="9"/>
    </row>
    <row r="278">
      <c r="A278" s="8"/>
      <c r="C278" s="8"/>
      <c r="O278" s="9"/>
    </row>
    <row r="279">
      <c r="A279" s="8"/>
      <c r="C279" s="8"/>
      <c r="O279" s="9"/>
    </row>
    <row r="280">
      <c r="A280" s="8"/>
      <c r="C280" s="8"/>
      <c r="O280" s="9"/>
    </row>
    <row r="281">
      <c r="A281" s="8"/>
      <c r="C281" s="8"/>
      <c r="O281" s="9"/>
    </row>
    <row r="282">
      <c r="A282" s="8"/>
      <c r="C282" s="8"/>
      <c r="O282" s="9"/>
    </row>
    <row r="283">
      <c r="A283" s="8"/>
      <c r="C283" s="8"/>
      <c r="O283" s="9"/>
    </row>
    <row r="284">
      <c r="A284" s="8"/>
      <c r="C284" s="8"/>
      <c r="O284" s="9"/>
    </row>
    <row r="285">
      <c r="A285" s="8"/>
      <c r="C285" s="8"/>
      <c r="O285" s="9"/>
    </row>
    <row r="286">
      <c r="A286" s="8"/>
      <c r="C286" s="8"/>
      <c r="O286" s="9"/>
    </row>
    <row r="287">
      <c r="A287" s="8"/>
      <c r="C287" s="8"/>
      <c r="O287" s="9"/>
    </row>
    <row r="288">
      <c r="A288" s="8"/>
      <c r="C288" s="8"/>
      <c r="O288" s="9"/>
    </row>
    <row r="289">
      <c r="A289" s="8"/>
      <c r="C289" s="8"/>
      <c r="O289" s="9"/>
    </row>
    <row r="290">
      <c r="A290" s="8"/>
      <c r="C290" s="8"/>
      <c r="O290" s="9"/>
    </row>
    <row r="291">
      <c r="A291" s="8"/>
      <c r="C291" s="8"/>
      <c r="O291" s="9"/>
    </row>
    <row r="292">
      <c r="A292" s="8"/>
      <c r="C292" s="8"/>
      <c r="O292" s="9"/>
    </row>
    <row r="293">
      <c r="A293" s="8"/>
      <c r="C293" s="8"/>
      <c r="O293" s="9"/>
    </row>
    <row r="294">
      <c r="A294" s="8"/>
      <c r="C294" s="8"/>
      <c r="O294" s="9"/>
    </row>
    <row r="295">
      <c r="A295" s="8"/>
      <c r="C295" s="8"/>
      <c r="O295" s="9"/>
    </row>
    <row r="296">
      <c r="A296" s="8"/>
      <c r="C296" s="8"/>
      <c r="O296" s="9"/>
    </row>
    <row r="297">
      <c r="A297" s="8"/>
      <c r="C297" s="8"/>
      <c r="O297" s="9"/>
    </row>
    <row r="298">
      <c r="A298" s="8"/>
      <c r="C298" s="8"/>
      <c r="O298" s="9"/>
    </row>
    <row r="299">
      <c r="A299" s="8"/>
      <c r="C299" s="8"/>
      <c r="O299" s="9"/>
    </row>
    <row r="300">
      <c r="A300" s="8"/>
      <c r="C300" s="8"/>
      <c r="O300" s="9"/>
    </row>
    <row r="301">
      <c r="A301" s="8"/>
      <c r="C301" s="8"/>
      <c r="O301" s="9"/>
    </row>
    <row r="302">
      <c r="A302" s="8"/>
      <c r="C302" s="8"/>
      <c r="O302" s="9"/>
    </row>
    <row r="303">
      <c r="A303" s="8"/>
      <c r="C303" s="8"/>
      <c r="O303" s="9"/>
    </row>
    <row r="304">
      <c r="A304" s="8"/>
      <c r="C304" s="8"/>
      <c r="O304" s="9"/>
    </row>
    <row r="305">
      <c r="A305" s="8"/>
      <c r="C305" s="8"/>
      <c r="O305" s="9"/>
    </row>
    <row r="306">
      <c r="A306" s="8"/>
      <c r="C306" s="8"/>
      <c r="O306" s="9"/>
    </row>
    <row r="307">
      <c r="A307" s="8"/>
      <c r="C307" s="8"/>
      <c r="O307" s="9"/>
    </row>
    <row r="308">
      <c r="A308" s="8"/>
      <c r="C308" s="8"/>
      <c r="O308" s="9"/>
    </row>
    <row r="309">
      <c r="A309" s="8"/>
      <c r="C309" s="8"/>
      <c r="O309" s="9"/>
    </row>
    <row r="310">
      <c r="A310" s="8"/>
      <c r="C310" s="8"/>
      <c r="O310" s="9"/>
    </row>
    <row r="311">
      <c r="A311" s="8"/>
      <c r="C311" s="8"/>
      <c r="O311" s="9"/>
    </row>
    <row r="312">
      <c r="A312" s="8"/>
      <c r="C312" s="8"/>
      <c r="O312" s="9"/>
    </row>
    <row r="313">
      <c r="A313" s="8"/>
      <c r="C313" s="8"/>
      <c r="O313" s="9"/>
    </row>
    <row r="314">
      <c r="A314" s="8"/>
      <c r="C314" s="8"/>
      <c r="O314" s="9"/>
    </row>
    <row r="315">
      <c r="A315" s="8"/>
      <c r="C315" s="8"/>
      <c r="O315" s="9"/>
    </row>
    <row r="316">
      <c r="A316" s="8"/>
      <c r="C316" s="8"/>
      <c r="O316" s="9"/>
    </row>
    <row r="317">
      <c r="A317" s="8"/>
      <c r="C317" s="8"/>
      <c r="O317" s="9"/>
    </row>
    <row r="318">
      <c r="A318" s="8"/>
      <c r="C318" s="8"/>
      <c r="O318" s="9"/>
    </row>
    <row r="319">
      <c r="A319" s="8"/>
      <c r="C319" s="8"/>
      <c r="O319" s="9"/>
    </row>
    <row r="320">
      <c r="A320" s="8"/>
      <c r="C320" s="8"/>
      <c r="O320" s="9"/>
    </row>
    <row r="321">
      <c r="A321" s="8"/>
      <c r="C321" s="8"/>
      <c r="O321" s="9"/>
    </row>
    <row r="322">
      <c r="A322" s="8"/>
      <c r="C322" s="8"/>
      <c r="O322" s="9"/>
    </row>
    <row r="323">
      <c r="A323" s="8"/>
      <c r="C323" s="8"/>
      <c r="O323" s="9"/>
    </row>
    <row r="324">
      <c r="A324" s="8"/>
      <c r="C324" s="8"/>
      <c r="O324" s="9"/>
    </row>
    <row r="325">
      <c r="A325" s="8"/>
      <c r="C325" s="8"/>
      <c r="O325" s="9"/>
    </row>
    <row r="326">
      <c r="A326" s="8"/>
      <c r="C326" s="8"/>
      <c r="O326" s="9"/>
    </row>
    <row r="327">
      <c r="A327" s="8"/>
      <c r="C327" s="8"/>
      <c r="O327" s="9"/>
    </row>
    <row r="328">
      <c r="A328" s="8"/>
      <c r="C328" s="8"/>
      <c r="O328" s="9"/>
    </row>
    <row r="329">
      <c r="A329" s="8"/>
      <c r="C329" s="8"/>
      <c r="O329" s="9"/>
    </row>
    <row r="330">
      <c r="A330" s="8"/>
      <c r="C330" s="8"/>
      <c r="O330" s="9"/>
    </row>
    <row r="331">
      <c r="A331" s="8"/>
      <c r="C331" s="8"/>
      <c r="O331" s="9"/>
    </row>
    <row r="332">
      <c r="A332" s="8"/>
      <c r="C332" s="8"/>
      <c r="O332" s="9"/>
    </row>
    <row r="333">
      <c r="A333" s="8"/>
      <c r="C333" s="8"/>
      <c r="O333" s="9"/>
    </row>
    <row r="334">
      <c r="A334" s="8"/>
      <c r="C334" s="8"/>
      <c r="O334" s="9"/>
    </row>
    <row r="335">
      <c r="A335" s="8"/>
      <c r="C335" s="8"/>
      <c r="O335" s="9"/>
    </row>
    <row r="336">
      <c r="A336" s="8"/>
      <c r="C336" s="8"/>
      <c r="O336" s="9"/>
    </row>
    <row r="337">
      <c r="A337" s="8"/>
      <c r="C337" s="8"/>
      <c r="O337" s="9"/>
    </row>
    <row r="338">
      <c r="A338" s="8"/>
      <c r="C338" s="8"/>
      <c r="O338" s="9"/>
    </row>
    <row r="339">
      <c r="A339" s="8"/>
      <c r="C339" s="8"/>
      <c r="O339" s="9"/>
    </row>
    <row r="340">
      <c r="A340" s="8"/>
      <c r="C340" s="8"/>
      <c r="O340" s="9"/>
    </row>
    <row r="341">
      <c r="A341" s="8"/>
      <c r="C341" s="8"/>
      <c r="O341" s="9"/>
    </row>
    <row r="342">
      <c r="A342" s="8"/>
      <c r="C342" s="8"/>
      <c r="O342" s="9"/>
    </row>
    <row r="343">
      <c r="A343" s="8"/>
      <c r="C343" s="8"/>
      <c r="O343" s="9"/>
    </row>
    <row r="344">
      <c r="A344" s="8"/>
      <c r="C344" s="8"/>
      <c r="O344" s="9"/>
    </row>
    <row r="345">
      <c r="A345" s="8"/>
      <c r="C345" s="8"/>
      <c r="O345" s="9"/>
    </row>
    <row r="346">
      <c r="A346" s="8"/>
      <c r="C346" s="8"/>
      <c r="O346" s="9"/>
    </row>
    <row r="347">
      <c r="A347" s="8"/>
      <c r="C347" s="8"/>
      <c r="O347" s="9"/>
    </row>
    <row r="348">
      <c r="A348" s="8"/>
      <c r="C348" s="8"/>
      <c r="O348" s="9"/>
    </row>
    <row r="349">
      <c r="A349" s="8"/>
      <c r="C349" s="8"/>
      <c r="O349" s="9"/>
    </row>
    <row r="350">
      <c r="A350" s="8"/>
      <c r="C350" s="8"/>
      <c r="O350" s="9"/>
    </row>
    <row r="351">
      <c r="A351" s="8"/>
      <c r="C351" s="8"/>
      <c r="O351" s="9"/>
    </row>
    <row r="352">
      <c r="A352" s="8"/>
      <c r="C352" s="8"/>
      <c r="O352" s="9"/>
    </row>
    <row r="353">
      <c r="A353" s="8"/>
      <c r="C353" s="8"/>
      <c r="O353" s="9"/>
    </row>
    <row r="354">
      <c r="A354" s="8"/>
      <c r="C354" s="8"/>
      <c r="O354" s="9"/>
    </row>
    <row r="355">
      <c r="A355" s="8"/>
      <c r="C355" s="8"/>
      <c r="O355" s="9"/>
    </row>
    <row r="356">
      <c r="A356" s="8"/>
      <c r="C356" s="8"/>
      <c r="O356" s="9"/>
    </row>
    <row r="357">
      <c r="A357" s="8"/>
      <c r="C357" s="8"/>
      <c r="O357" s="9"/>
    </row>
    <row r="358">
      <c r="A358" s="8"/>
      <c r="C358" s="8"/>
      <c r="O358" s="9"/>
    </row>
    <row r="359">
      <c r="A359" s="8"/>
      <c r="C359" s="8"/>
      <c r="O359" s="9"/>
    </row>
    <row r="360">
      <c r="A360" s="8"/>
      <c r="C360" s="8"/>
      <c r="O360" s="9"/>
    </row>
    <row r="361">
      <c r="A361" s="8"/>
      <c r="C361" s="8"/>
      <c r="O361" s="9"/>
    </row>
    <row r="362">
      <c r="A362" s="8"/>
      <c r="C362" s="8"/>
      <c r="O362" s="9"/>
    </row>
    <row r="363">
      <c r="A363" s="8"/>
      <c r="C363" s="8"/>
      <c r="O363" s="9"/>
    </row>
    <row r="364">
      <c r="A364" s="8"/>
      <c r="C364" s="8"/>
      <c r="O364" s="9"/>
    </row>
    <row r="365">
      <c r="A365" s="8"/>
      <c r="C365" s="8"/>
      <c r="O365" s="9"/>
    </row>
    <row r="366">
      <c r="A366" s="8"/>
      <c r="C366" s="8"/>
      <c r="O366" s="9"/>
    </row>
    <row r="367">
      <c r="A367" s="8"/>
      <c r="C367" s="8"/>
      <c r="O367" s="9"/>
    </row>
    <row r="368">
      <c r="A368" s="8"/>
      <c r="C368" s="8"/>
      <c r="O368" s="9"/>
    </row>
    <row r="369">
      <c r="A369" s="8"/>
      <c r="C369" s="8"/>
      <c r="O369" s="9"/>
    </row>
    <row r="370">
      <c r="A370" s="8"/>
      <c r="C370" s="8"/>
      <c r="O370" s="9"/>
    </row>
    <row r="371">
      <c r="A371" s="8"/>
      <c r="C371" s="8"/>
      <c r="O371" s="9"/>
    </row>
    <row r="372">
      <c r="A372" s="8"/>
      <c r="C372" s="8"/>
      <c r="O372" s="9"/>
    </row>
    <row r="373">
      <c r="A373" s="8"/>
      <c r="C373" s="8"/>
      <c r="O373" s="9"/>
    </row>
    <row r="374">
      <c r="A374" s="8"/>
      <c r="C374" s="8"/>
      <c r="O374" s="9"/>
    </row>
    <row r="375">
      <c r="A375" s="8"/>
      <c r="C375" s="8"/>
      <c r="O375" s="9"/>
    </row>
    <row r="376">
      <c r="A376" s="8"/>
      <c r="C376" s="8"/>
      <c r="O376" s="9"/>
    </row>
    <row r="377">
      <c r="A377" s="8"/>
      <c r="C377" s="8"/>
      <c r="O377" s="9"/>
    </row>
    <row r="378">
      <c r="A378" s="8"/>
      <c r="C378" s="8"/>
      <c r="O378" s="9"/>
    </row>
    <row r="379">
      <c r="A379" s="8"/>
      <c r="C379" s="8"/>
      <c r="O379" s="9"/>
    </row>
    <row r="380">
      <c r="A380" s="8"/>
      <c r="C380" s="8"/>
      <c r="O380" s="9"/>
    </row>
    <row r="381">
      <c r="A381" s="8"/>
      <c r="C381" s="8"/>
      <c r="O381" s="9"/>
    </row>
    <row r="382">
      <c r="A382" s="8"/>
      <c r="C382" s="8"/>
      <c r="O382" s="9"/>
    </row>
    <row r="383">
      <c r="A383" s="8"/>
      <c r="C383" s="8"/>
      <c r="O383" s="9"/>
    </row>
    <row r="384">
      <c r="A384" s="8"/>
      <c r="C384" s="8"/>
      <c r="O384" s="9"/>
    </row>
    <row r="385">
      <c r="A385" s="8"/>
      <c r="C385" s="8"/>
      <c r="O385" s="9"/>
    </row>
    <row r="386">
      <c r="A386" s="8"/>
      <c r="C386" s="8"/>
      <c r="O386" s="9"/>
    </row>
    <row r="387">
      <c r="A387" s="8"/>
      <c r="C387" s="8"/>
      <c r="O387" s="9"/>
    </row>
    <row r="388">
      <c r="A388" s="8"/>
      <c r="C388" s="8"/>
      <c r="O388" s="9"/>
    </row>
    <row r="389">
      <c r="A389" s="8"/>
      <c r="C389" s="8"/>
      <c r="O389" s="9"/>
    </row>
    <row r="390">
      <c r="A390" s="8"/>
      <c r="C390" s="8"/>
      <c r="O390" s="9"/>
    </row>
    <row r="391">
      <c r="A391" s="8"/>
      <c r="C391" s="8"/>
      <c r="O391" s="9"/>
    </row>
    <row r="392">
      <c r="A392" s="8"/>
      <c r="C392" s="8"/>
      <c r="O392" s="9"/>
    </row>
    <row r="393">
      <c r="A393" s="8"/>
      <c r="C393" s="8"/>
      <c r="O393" s="9"/>
    </row>
    <row r="394">
      <c r="A394" s="8"/>
      <c r="C394" s="8"/>
      <c r="O394" s="9"/>
    </row>
    <row r="395">
      <c r="A395" s="8"/>
      <c r="C395" s="8"/>
      <c r="O395" s="9"/>
    </row>
    <row r="396">
      <c r="A396" s="8"/>
      <c r="C396" s="8"/>
      <c r="O396" s="9"/>
    </row>
    <row r="397">
      <c r="A397" s="8"/>
      <c r="C397" s="8"/>
      <c r="O397" s="9"/>
    </row>
    <row r="398">
      <c r="A398" s="8"/>
      <c r="C398" s="8"/>
      <c r="O398" s="9"/>
    </row>
    <row r="399">
      <c r="A399" s="8"/>
      <c r="C399" s="8"/>
      <c r="O399" s="9"/>
    </row>
    <row r="400">
      <c r="A400" s="8"/>
      <c r="C400" s="8"/>
      <c r="O400" s="9"/>
    </row>
    <row r="401">
      <c r="A401" s="8"/>
      <c r="C401" s="8"/>
      <c r="O401" s="9"/>
    </row>
    <row r="402">
      <c r="A402" s="8"/>
      <c r="C402" s="8"/>
      <c r="O402" s="9"/>
    </row>
    <row r="403">
      <c r="A403" s="8"/>
      <c r="C403" s="8"/>
      <c r="O403" s="9"/>
    </row>
    <row r="404">
      <c r="A404" s="8"/>
      <c r="C404" s="8"/>
      <c r="O404" s="9"/>
    </row>
    <row r="405">
      <c r="A405" s="8"/>
      <c r="C405" s="8"/>
      <c r="O405" s="9"/>
    </row>
    <row r="406">
      <c r="A406" s="8"/>
      <c r="C406" s="8"/>
      <c r="O406" s="9"/>
    </row>
    <row r="407">
      <c r="A407" s="8"/>
      <c r="C407" s="8"/>
      <c r="O407" s="9"/>
    </row>
    <row r="408">
      <c r="A408" s="8"/>
      <c r="C408" s="8"/>
      <c r="O408" s="9"/>
    </row>
    <row r="409">
      <c r="A409" s="8"/>
      <c r="C409" s="8"/>
      <c r="O409" s="9"/>
    </row>
    <row r="410">
      <c r="A410" s="8"/>
      <c r="C410" s="8"/>
      <c r="O410" s="9"/>
    </row>
    <row r="411">
      <c r="A411" s="8"/>
      <c r="C411" s="8"/>
      <c r="O411" s="9"/>
    </row>
    <row r="412">
      <c r="A412" s="8"/>
      <c r="C412" s="8"/>
      <c r="O412" s="9"/>
    </row>
    <row r="413">
      <c r="A413" s="8"/>
      <c r="C413" s="8"/>
      <c r="O413" s="9"/>
    </row>
    <row r="414">
      <c r="A414" s="8"/>
      <c r="C414" s="8"/>
      <c r="O414" s="9"/>
    </row>
    <row r="415">
      <c r="A415" s="8"/>
      <c r="C415" s="8"/>
      <c r="O415" s="9"/>
    </row>
    <row r="416">
      <c r="A416" s="8"/>
      <c r="C416" s="8"/>
      <c r="O416" s="9"/>
    </row>
    <row r="417">
      <c r="A417" s="8"/>
      <c r="C417" s="8"/>
      <c r="O417" s="9"/>
    </row>
    <row r="418">
      <c r="A418" s="8"/>
      <c r="C418" s="8"/>
      <c r="O418" s="9"/>
    </row>
    <row r="419">
      <c r="A419" s="8"/>
      <c r="C419" s="8"/>
      <c r="O419" s="9"/>
    </row>
    <row r="420">
      <c r="A420" s="8"/>
      <c r="C420" s="8"/>
      <c r="O420" s="9"/>
    </row>
    <row r="421">
      <c r="A421" s="8"/>
      <c r="C421" s="8"/>
      <c r="O421" s="9"/>
    </row>
    <row r="422">
      <c r="A422" s="8"/>
      <c r="C422" s="8"/>
      <c r="O422" s="9"/>
    </row>
    <row r="423">
      <c r="A423" s="8"/>
      <c r="C423" s="8"/>
      <c r="O423" s="9"/>
    </row>
    <row r="424">
      <c r="A424" s="8"/>
      <c r="C424" s="8"/>
      <c r="O424" s="9"/>
    </row>
    <row r="425">
      <c r="A425" s="8"/>
      <c r="C425" s="8"/>
      <c r="O425" s="9"/>
    </row>
    <row r="426">
      <c r="A426" s="8"/>
      <c r="C426" s="8"/>
      <c r="O426" s="9"/>
    </row>
    <row r="427">
      <c r="A427" s="8"/>
      <c r="C427" s="8"/>
      <c r="O427" s="9"/>
    </row>
    <row r="428">
      <c r="A428" s="8"/>
      <c r="C428" s="8"/>
      <c r="O428" s="9"/>
    </row>
    <row r="429">
      <c r="A429" s="8"/>
      <c r="C429" s="8"/>
      <c r="O429" s="9"/>
    </row>
    <row r="430">
      <c r="A430" s="8"/>
      <c r="C430" s="8"/>
      <c r="O430" s="9"/>
    </row>
    <row r="431">
      <c r="A431" s="8"/>
      <c r="C431" s="8"/>
      <c r="O431" s="9"/>
    </row>
    <row r="432">
      <c r="A432" s="8"/>
      <c r="C432" s="8"/>
      <c r="O432" s="9"/>
    </row>
    <row r="433">
      <c r="A433" s="8"/>
      <c r="C433" s="8"/>
      <c r="O433" s="9"/>
    </row>
    <row r="434">
      <c r="A434" s="8"/>
      <c r="C434" s="8"/>
      <c r="O434" s="9"/>
    </row>
    <row r="435">
      <c r="A435" s="8"/>
      <c r="C435" s="8"/>
      <c r="O435" s="9"/>
    </row>
    <row r="436">
      <c r="A436" s="8"/>
      <c r="C436" s="8"/>
      <c r="O436" s="9"/>
    </row>
    <row r="437">
      <c r="A437" s="8"/>
      <c r="C437" s="8"/>
      <c r="O437" s="9"/>
    </row>
    <row r="438">
      <c r="A438" s="8"/>
      <c r="C438" s="8"/>
      <c r="O438" s="9"/>
    </row>
    <row r="439">
      <c r="A439" s="8"/>
      <c r="C439" s="8"/>
      <c r="O439" s="9"/>
    </row>
    <row r="440">
      <c r="A440" s="8"/>
      <c r="C440" s="8"/>
      <c r="O440" s="9"/>
    </row>
    <row r="441">
      <c r="A441" s="8"/>
      <c r="C441" s="8"/>
      <c r="O441" s="9"/>
    </row>
    <row r="442">
      <c r="A442" s="8"/>
      <c r="C442" s="8"/>
      <c r="O442" s="9"/>
    </row>
    <row r="443">
      <c r="A443" s="8"/>
      <c r="C443" s="8"/>
      <c r="O443" s="9"/>
    </row>
    <row r="444">
      <c r="A444" s="8"/>
      <c r="C444" s="8"/>
      <c r="O444" s="9"/>
    </row>
    <row r="445">
      <c r="A445" s="8"/>
      <c r="C445" s="8"/>
      <c r="O445" s="9"/>
    </row>
    <row r="446">
      <c r="A446" s="8"/>
      <c r="C446" s="8"/>
      <c r="O446" s="9"/>
    </row>
    <row r="447">
      <c r="A447" s="8"/>
      <c r="C447" s="8"/>
      <c r="O447" s="9"/>
    </row>
    <row r="448">
      <c r="A448" s="8"/>
      <c r="C448" s="8"/>
      <c r="O448" s="9"/>
    </row>
    <row r="449">
      <c r="A449" s="8"/>
      <c r="C449" s="8"/>
      <c r="O449" s="9"/>
    </row>
    <row r="450">
      <c r="A450" s="8"/>
      <c r="C450" s="8"/>
      <c r="O450" s="9"/>
    </row>
    <row r="451">
      <c r="A451" s="8"/>
      <c r="C451" s="8"/>
      <c r="O451" s="9"/>
    </row>
    <row r="452">
      <c r="A452" s="8"/>
      <c r="C452" s="8"/>
      <c r="O452" s="9"/>
    </row>
    <row r="453">
      <c r="A453" s="8"/>
      <c r="C453" s="8"/>
      <c r="O453" s="9"/>
    </row>
    <row r="454">
      <c r="A454" s="8"/>
      <c r="C454" s="8"/>
      <c r="O454" s="9"/>
    </row>
    <row r="455">
      <c r="A455" s="8"/>
      <c r="C455" s="8"/>
      <c r="O455" s="9"/>
    </row>
    <row r="456">
      <c r="A456" s="8"/>
      <c r="C456" s="8"/>
      <c r="O456" s="9"/>
    </row>
    <row r="457">
      <c r="A457" s="8"/>
      <c r="C457" s="8"/>
      <c r="O457" s="9"/>
    </row>
    <row r="458">
      <c r="A458" s="8"/>
      <c r="C458" s="8"/>
      <c r="O458" s="9"/>
    </row>
    <row r="459">
      <c r="A459" s="8"/>
      <c r="C459" s="8"/>
      <c r="O459" s="9"/>
    </row>
    <row r="460">
      <c r="A460" s="8"/>
      <c r="C460" s="8"/>
      <c r="O460" s="9"/>
    </row>
    <row r="461">
      <c r="A461" s="8"/>
      <c r="C461" s="8"/>
      <c r="O461" s="9"/>
    </row>
    <row r="462">
      <c r="A462" s="8"/>
      <c r="C462" s="8"/>
      <c r="O462" s="9"/>
    </row>
    <row r="463">
      <c r="A463" s="8"/>
      <c r="C463" s="8"/>
      <c r="O463" s="9"/>
    </row>
    <row r="464">
      <c r="A464" s="8"/>
      <c r="C464" s="8"/>
      <c r="O464" s="9"/>
    </row>
    <row r="465">
      <c r="A465" s="8"/>
      <c r="C465" s="8"/>
      <c r="O465" s="9"/>
    </row>
    <row r="466">
      <c r="A466" s="8"/>
      <c r="C466" s="8"/>
      <c r="O466" s="9"/>
    </row>
    <row r="467">
      <c r="A467" s="8"/>
      <c r="C467" s="8"/>
      <c r="O467" s="9"/>
    </row>
    <row r="468">
      <c r="A468" s="8"/>
      <c r="C468" s="8"/>
      <c r="O468" s="9"/>
    </row>
    <row r="469">
      <c r="A469" s="8"/>
      <c r="C469" s="8"/>
      <c r="O469" s="9"/>
    </row>
    <row r="470">
      <c r="A470" s="8"/>
      <c r="C470" s="8"/>
      <c r="O470" s="9"/>
    </row>
    <row r="471">
      <c r="A471" s="8"/>
      <c r="C471" s="8"/>
      <c r="O471" s="9"/>
    </row>
    <row r="472">
      <c r="A472" s="8"/>
      <c r="C472" s="8"/>
      <c r="O472" s="9"/>
    </row>
    <row r="473">
      <c r="A473" s="8"/>
      <c r="C473" s="8"/>
      <c r="O473" s="9"/>
    </row>
    <row r="474">
      <c r="A474" s="8"/>
      <c r="C474" s="8"/>
      <c r="O474" s="9"/>
    </row>
    <row r="475">
      <c r="A475" s="8"/>
      <c r="C475" s="8"/>
      <c r="O475" s="9"/>
    </row>
    <row r="476">
      <c r="A476" s="8"/>
      <c r="C476" s="8"/>
      <c r="O476" s="9"/>
    </row>
    <row r="477">
      <c r="A477" s="8"/>
      <c r="C477" s="8"/>
      <c r="O477" s="9"/>
    </row>
    <row r="478">
      <c r="A478" s="8"/>
      <c r="C478" s="8"/>
      <c r="O478" s="9"/>
    </row>
    <row r="479">
      <c r="A479" s="8"/>
      <c r="C479" s="8"/>
      <c r="O479" s="9"/>
    </row>
    <row r="480">
      <c r="A480" s="8"/>
      <c r="C480" s="8"/>
      <c r="O480" s="9"/>
    </row>
    <row r="481">
      <c r="A481" s="8"/>
      <c r="C481" s="8"/>
      <c r="O481" s="9"/>
    </row>
    <row r="482">
      <c r="A482" s="8"/>
      <c r="C482" s="8"/>
      <c r="O482" s="9"/>
    </row>
    <row r="483">
      <c r="A483" s="8"/>
      <c r="C483" s="8"/>
      <c r="O483" s="9"/>
    </row>
    <row r="484">
      <c r="A484" s="8"/>
      <c r="C484" s="8"/>
      <c r="O484" s="9"/>
    </row>
    <row r="485">
      <c r="A485" s="8"/>
      <c r="C485" s="8"/>
      <c r="O485" s="9"/>
    </row>
    <row r="486">
      <c r="A486" s="8"/>
      <c r="C486" s="8"/>
      <c r="O486" s="9"/>
    </row>
    <row r="487">
      <c r="A487" s="8"/>
      <c r="C487" s="8"/>
      <c r="O487" s="9"/>
    </row>
    <row r="488">
      <c r="A488" s="8"/>
      <c r="C488" s="8"/>
      <c r="O488" s="9"/>
    </row>
    <row r="489">
      <c r="A489" s="8"/>
      <c r="C489" s="8"/>
      <c r="O489" s="9"/>
    </row>
    <row r="490">
      <c r="A490" s="8"/>
      <c r="C490" s="8"/>
      <c r="O490" s="9"/>
    </row>
    <row r="491">
      <c r="A491" s="8"/>
      <c r="C491" s="8"/>
      <c r="O491" s="9"/>
    </row>
    <row r="492">
      <c r="A492" s="8"/>
      <c r="C492" s="8"/>
      <c r="O492" s="9"/>
    </row>
    <row r="493">
      <c r="A493" s="8"/>
      <c r="C493" s="8"/>
      <c r="O493" s="9"/>
    </row>
    <row r="494">
      <c r="A494" s="8"/>
      <c r="C494" s="8"/>
      <c r="O494" s="9"/>
    </row>
    <row r="495">
      <c r="A495" s="8"/>
      <c r="C495" s="8"/>
      <c r="O495" s="9"/>
    </row>
    <row r="496">
      <c r="A496" s="8"/>
      <c r="C496" s="8"/>
      <c r="O496" s="9"/>
    </row>
    <row r="497">
      <c r="A497" s="8"/>
      <c r="C497" s="8"/>
      <c r="O497" s="9"/>
    </row>
    <row r="498">
      <c r="A498" s="8"/>
      <c r="C498" s="8"/>
      <c r="O498" s="9"/>
    </row>
    <row r="499">
      <c r="A499" s="8"/>
      <c r="C499" s="8"/>
      <c r="O499" s="9"/>
    </row>
    <row r="500">
      <c r="A500" s="8"/>
      <c r="C500" s="8"/>
      <c r="O500" s="9"/>
    </row>
    <row r="501">
      <c r="A501" s="8"/>
      <c r="C501" s="8"/>
      <c r="O501" s="9"/>
    </row>
    <row r="502">
      <c r="A502" s="8"/>
      <c r="C502" s="8"/>
      <c r="O502" s="9"/>
    </row>
    <row r="503">
      <c r="A503" s="8"/>
      <c r="C503" s="8"/>
      <c r="O503" s="9"/>
    </row>
    <row r="504">
      <c r="A504" s="8"/>
      <c r="C504" s="8"/>
      <c r="O504" s="9"/>
    </row>
    <row r="505">
      <c r="A505" s="8"/>
      <c r="C505" s="8"/>
      <c r="O505" s="9"/>
    </row>
    <row r="506">
      <c r="A506" s="8"/>
      <c r="C506" s="8"/>
      <c r="O506" s="9"/>
    </row>
    <row r="507">
      <c r="A507" s="8"/>
      <c r="C507" s="8"/>
      <c r="O507" s="9"/>
    </row>
    <row r="508">
      <c r="A508" s="8"/>
      <c r="C508" s="8"/>
      <c r="O508" s="9"/>
    </row>
    <row r="509">
      <c r="A509" s="8"/>
      <c r="C509" s="8"/>
      <c r="O509" s="9"/>
    </row>
    <row r="510">
      <c r="A510" s="8"/>
      <c r="C510" s="8"/>
      <c r="O510" s="9"/>
    </row>
    <row r="511">
      <c r="A511" s="8"/>
      <c r="C511" s="8"/>
      <c r="O511" s="9"/>
    </row>
    <row r="512">
      <c r="A512" s="8"/>
      <c r="C512" s="8"/>
      <c r="O512" s="9"/>
    </row>
    <row r="513">
      <c r="A513" s="8"/>
      <c r="C513" s="8"/>
      <c r="O513" s="9"/>
    </row>
    <row r="514">
      <c r="A514" s="8"/>
      <c r="C514" s="8"/>
      <c r="O514" s="9"/>
    </row>
    <row r="515">
      <c r="A515" s="8"/>
      <c r="C515" s="8"/>
      <c r="O515" s="9"/>
    </row>
    <row r="516">
      <c r="A516" s="8"/>
      <c r="C516" s="8"/>
      <c r="O516" s="9"/>
    </row>
    <row r="517">
      <c r="A517" s="8"/>
      <c r="C517" s="8"/>
      <c r="O517" s="9"/>
    </row>
    <row r="518">
      <c r="A518" s="8"/>
      <c r="C518" s="8"/>
      <c r="O518" s="9"/>
    </row>
    <row r="519">
      <c r="A519" s="8"/>
      <c r="C519" s="8"/>
      <c r="O519" s="9"/>
    </row>
    <row r="520">
      <c r="A520" s="8"/>
      <c r="C520" s="8"/>
      <c r="O520" s="9"/>
    </row>
    <row r="521">
      <c r="A521" s="8"/>
      <c r="C521" s="8"/>
      <c r="O521" s="9"/>
    </row>
    <row r="522">
      <c r="A522" s="8"/>
      <c r="C522" s="8"/>
      <c r="O522" s="9"/>
    </row>
    <row r="523">
      <c r="A523" s="8"/>
      <c r="C523" s="8"/>
      <c r="O523" s="9"/>
    </row>
    <row r="524">
      <c r="A524" s="8"/>
      <c r="C524" s="8"/>
      <c r="O524" s="9"/>
    </row>
    <row r="525">
      <c r="A525" s="8"/>
      <c r="C525" s="8"/>
      <c r="O525" s="9"/>
    </row>
    <row r="526">
      <c r="A526" s="8"/>
      <c r="C526" s="8"/>
      <c r="O526" s="9"/>
    </row>
    <row r="527">
      <c r="A527" s="8"/>
      <c r="C527" s="8"/>
      <c r="O527" s="9"/>
    </row>
    <row r="528">
      <c r="A528" s="8"/>
      <c r="C528" s="8"/>
      <c r="O528" s="9"/>
    </row>
    <row r="529">
      <c r="A529" s="8"/>
      <c r="C529" s="8"/>
      <c r="O529" s="9"/>
    </row>
    <row r="530">
      <c r="A530" s="8"/>
      <c r="C530" s="8"/>
      <c r="O530" s="9"/>
    </row>
    <row r="531">
      <c r="A531" s="8"/>
      <c r="C531" s="8"/>
      <c r="O531" s="9"/>
    </row>
    <row r="532">
      <c r="A532" s="8"/>
      <c r="C532" s="8"/>
      <c r="O532" s="9"/>
    </row>
    <row r="533">
      <c r="A533" s="8"/>
      <c r="C533" s="8"/>
      <c r="O533" s="9"/>
    </row>
    <row r="534">
      <c r="A534" s="8"/>
      <c r="C534" s="8"/>
      <c r="O534" s="9"/>
    </row>
    <row r="535">
      <c r="A535" s="8"/>
      <c r="C535" s="8"/>
      <c r="O535" s="9"/>
    </row>
    <row r="536">
      <c r="A536" s="8"/>
      <c r="C536" s="8"/>
      <c r="O536" s="9"/>
    </row>
    <row r="537">
      <c r="A537" s="8"/>
      <c r="C537" s="8"/>
      <c r="O537" s="9"/>
    </row>
    <row r="538">
      <c r="A538" s="8"/>
      <c r="C538" s="8"/>
      <c r="O538" s="9"/>
    </row>
    <row r="539">
      <c r="A539" s="8"/>
      <c r="C539" s="8"/>
      <c r="O539" s="9"/>
    </row>
    <row r="540">
      <c r="A540" s="8"/>
      <c r="C540" s="8"/>
      <c r="O540" s="9"/>
    </row>
    <row r="541">
      <c r="A541" s="8"/>
      <c r="C541" s="8"/>
      <c r="O541" s="9"/>
    </row>
    <row r="542">
      <c r="A542" s="8"/>
      <c r="C542" s="8"/>
      <c r="O542" s="9"/>
    </row>
    <row r="543">
      <c r="A543" s="8"/>
      <c r="C543" s="8"/>
      <c r="O543" s="9"/>
    </row>
    <row r="544">
      <c r="A544" s="8"/>
      <c r="C544" s="8"/>
      <c r="O544" s="9"/>
    </row>
    <row r="545">
      <c r="A545" s="8"/>
      <c r="C545" s="8"/>
      <c r="O545" s="9"/>
    </row>
    <row r="546">
      <c r="A546" s="8"/>
      <c r="C546" s="8"/>
      <c r="O546" s="9"/>
    </row>
    <row r="547">
      <c r="A547" s="8"/>
      <c r="C547" s="8"/>
      <c r="O547" s="9"/>
    </row>
    <row r="548">
      <c r="A548" s="8"/>
      <c r="C548" s="8"/>
      <c r="O548" s="9"/>
    </row>
    <row r="549">
      <c r="A549" s="8"/>
      <c r="C549" s="8"/>
      <c r="O549" s="9"/>
    </row>
    <row r="550">
      <c r="A550" s="8"/>
      <c r="C550" s="8"/>
      <c r="O550" s="9"/>
    </row>
    <row r="551">
      <c r="A551" s="8"/>
      <c r="C551" s="8"/>
      <c r="O551" s="9"/>
    </row>
    <row r="552">
      <c r="A552" s="8"/>
      <c r="C552" s="8"/>
      <c r="O552" s="9"/>
    </row>
    <row r="553">
      <c r="A553" s="8"/>
      <c r="C553" s="8"/>
      <c r="O553" s="9"/>
    </row>
    <row r="554">
      <c r="A554" s="8"/>
      <c r="C554" s="8"/>
      <c r="O554" s="9"/>
    </row>
    <row r="555">
      <c r="A555" s="8"/>
      <c r="C555" s="8"/>
      <c r="O555" s="9"/>
    </row>
    <row r="556">
      <c r="A556" s="8"/>
      <c r="C556" s="8"/>
      <c r="O556" s="9"/>
    </row>
    <row r="557">
      <c r="A557" s="8"/>
      <c r="C557" s="8"/>
      <c r="O557" s="9"/>
    </row>
    <row r="558">
      <c r="A558" s="8"/>
      <c r="C558" s="8"/>
      <c r="O558" s="9"/>
    </row>
    <row r="559">
      <c r="A559" s="8"/>
      <c r="C559" s="8"/>
      <c r="O559" s="9"/>
    </row>
    <row r="560">
      <c r="A560" s="8"/>
      <c r="C560" s="8"/>
      <c r="O560" s="9"/>
    </row>
    <row r="561">
      <c r="A561" s="8"/>
      <c r="C561" s="8"/>
      <c r="O561" s="9"/>
    </row>
    <row r="562">
      <c r="A562" s="8"/>
      <c r="C562" s="8"/>
      <c r="O562" s="9"/>
    </row>
    <row r="563">
      <c r="A563" s="8"/>
      <c r="C563" s="8"/>
      <c r="O563" s="9"/>
    </row>
    <row r="564">
      <c r="A564" s="8"/>
      <c r="C564" s="8"/>
      <c r="O564" s="9"/>
    </row>
    <row r="565">
      <c r="A565" s="8"/>
      <c r="C565" s="8"/>
      <c r="O565" s="9"/>
    </row>
    <row r="566">
      <c r="A566" s="8"/>
      <c r="C566" s="8"/>
      <c r="O566" s="9"/>
    </row>
    <row r="567">
      <c r="A567" s="8"/>
      <c r="C567" s="8"/>
      <c r="O567" s="9"/>
    </row>
    <row r="568">
      <c r="A568" s="8"/>
      <c r="C568" s="8"/>
      <c r="O568" s="9"/>
    </row>
    <row r="569">
      <c r="A569" s="8"/>
      <c r="C569" s="8"/>
      <c r="O569" s="9"/>
    </row>
    <row r="570">
      <c r="A570" s="8"/>
      <c r="C570" s="8"/>
      <c r="O570" s="9"/>
    </row>
    <row r="571">
      <c r="A571" s="8"/>
      <c r="C571" s="8"/>
      <c r="O571" s="9"/>
    </row>
    <row r="572">
      <c r="A572" s="8"/>
      <c r="C572" s="8"/>
      <c r="O572" s="9"/>
    </row>
    <row r="573">
      <c r="A573" s="8"/>
      <c r="C573" s="8"/>
      <c r="O573" s="9"/>
    </row>
    <row r="574">
      <c r="A574" s="8"/>
      <c r="C574" s="8"/>
      <c r="O574" s="9"/>
    </row>
    <row r="575">
      <c r="A575" s="8"/>
      <c r="C575" s="8"/>
      <c r="O575" s="9"/>
    </row>
    <row r="576">
      <c r="A576" s="8"/>
      <c r="C576" s="8"/>
      <c r="O576" s="9"/>
    </row>
    <row r="577">
      <c r="A577" s="8"/>
      <c r="C577" s="8"/>
      <c r="O577" s="9"/>
    </row>
    <row r="578">
      <c r="A578" s="8"/>
      <c r="C578" s="8"/>
      <c r="O578" s="9"/>
    </row>
    <row r="579">
      <c r="A579" s="8"/>
      <c r="C579" s="8"/>
      <c r="O579" s="9"/>
    </row>
    <row r="580">
      <c r="A580" s="8"/>
      <c r="C580" s="8"/>
      <c r="O580" s="9"/>
    </row>
    <row r="581">
      <c r="A581" s="8"/>
      <c r="C581" s="8"/>
      <c r="O581" s="9"/>
    </row>
    <row r="582">
      <c r="A582" s="8"/>
      <c r="C582" s="8"/>
      <c r="O582" s="9"/>
    </row>
    <row r="583">
      <c r="A583" s="8"/>
      <c r="C583" s="8"/>
      <c r="O583" s="9"/>
    </row>
    <row r="584">
      <c r="A584" s="8"/>
      <c r="C584" s="8"/>
      <c r="O584" s="9"/>
    </row>
    <row r="585">
      <c r="A585" s="8"/>
      <c r="C585" s="8"/>
      <c r="O585" s="9"/>
    </row>
    <row r="586">
      <c r="A586" s="8"/>
      <c r="C586" s="8"/>
      <c r="O586" s="9"/>
    </row>
    <row r="587">
      <c r="A587" s="8"/>
      <c r="C587" s="8"/>
      <c r="O587" s="9"/>
    </row>
    <row r="588">
      <c r="A588" s="8"/>
      <c r="C588" s="8"/>
      <c r="O588" s="9"/>
    </row>
    <row r="589">
      <c r="A589" s="8"/>
      <c r="C589" s="8"/>
      <c r="O589" s="9"/>
    </row>
    <row r="590">
      <c r="A590" s="8"/>
      <c r="C590" s="8"/>
      <c r="O590" s="9"/>
    </row>
    <row r="591">
      <c r="A591" s="8"/>
      <c r="C591" s="8"/>
      <c r="O591" s="9"/>
    </row>
    <row r="592">
      <c r="A592" s="8"/>
      <c r="C592" s="8"/>
      <c r="O592" s="9"/>
    </row>
    <row r="593">
      <c r="A593" s="8"/>
      <c r="C593" s="8"/>
      <c r="O593" s="9"/>
    </row>
    <row r="594">
      <c r="A594" s="8"/>
      <c r="C594" s="8"/>
      <c r="O594" s="9"/>
    </row>
    <row r="595">
      <c r="A595" s="8"/>
      <c r="C595" s="8"/>
      <c r="O595" s="9"/>
    </row>
    <row r="596">
      <c r="A596" s="8"/>
      <c r="C596" s="8"/>
      <c r="O596" s="9"/>
    </row>
    <row r="597">
      <c r="A597" s="8"/>
      <c r="C597" s="8"/>
      <c r="O597" s="9"/>
    </row>
    <row r="598">
      <c r="A598" s="8"/>
      <c r="C598" s="8"/>
      <c r="O598" s="9"/>
    </row>
    <row r="599">
      <c r="A599" s="8"/>
      <c r="C599" s="8"/>
      <c r="O599" s="9"/>
    </row>
    <row r="600">
      <c r="A600" s="8"/>
      <c r="C600" s="8"/>
      <c r="O600" s="9"/>
    </row>
    <row r="601">
      <c r="A601" s="8"/>
      <c r="C601" s="8"/>
      <c r="O601" s="9"/>
    </row>
    <row r="602">
      <c r="A602" s="8"/>
      <c r="C602" s="8"/>
      <c r="O602" s="9"/>
    </row>
    <row r="603">
      <c r="A603" s="8"/>
      <c r="C603" s="8"/>
      <c r="O603" s="9"/>
    </row>
    <row r="604">
      <c r="A604" s="8"/>
      <c r="C604" s="8"/>
      <c r="O604" s="9"/>
    </row>
    <row r="605">
      <c r="A605" s="8"/>
      <c r="C605" s="8"/>
      <c r="O605" s="9"/>
    </row>
    <row r="606">
      <c r="A606" s="8"/>
      <c r="C606" s="8"/>
      <c r="O606" s="9"/>
    </row>
    <row r="607">
      <c r="A607" s="8"/>
      <c r="C607" s="8"/>
      <c r="O607" s="9"/>
    </row>
    <row r="608">
      <c r="A608" s="8"/>
      <c r="C608" s="8"/>
      <c r="O608" s="9"/>
    </row>
    <row r="609">
      <c r="A609" s="8"/>
      <c r="C609" s="8"/>
      <c r="O609" s="9"/>
    </row>
    <row r="610">
      <c r="A610" s="8"/>
      <c r="C610" s="8"/>
      <c r="O610" s="9"/>
    </row>
    <row r="611">
      <c r="A611" s="8"/>
      <c r="C611" s="8"/>
      <c r="O611" s="9"/>
    </row>
    <row r="612">
      <c r="A612" s="8"/>
      <c r="C612" s="8"/>
      <c r="O612" s="9"/>
    </row>
    <row r="613">
      <c r="A613" s="8"/>
      <c r="C613" s="8"/>
      <c r="O613" s="9"/>
    </row>
    <row r="614">
      <c r="A614" s="8"/>
      <c r="C614" s="8"/>
      <c r="O614" s="9"/>
    </row>
    <row r="615">
      <c r="A615" s="8"/>
      <c r="C615" s="8"/>
      <c r="O615" s="9"/>
    </row>
    <row r="616">
      <c r="A616" s="8"/>
      <c r="C616" s="8"/>
      <c r="O616" s="9"/>
    </row>
    <row r="617">
      <c r="A617" s="8"/>
      <c r="C617" s="8"/>
      <c r="O617" s="9"/>
    </row>
    <row r="618">
      <c r="A618" s="8"/>
      <c r="C618" s="8"/>
      <c r="O618" s="9"/>
    </row>
    <row r="619">
      <c r="A619" s="8"/>
      <c r="C619" s="8"/>
      <c r="O619" s="9"/>
    </row>
    <row r="620">
      <c r="A620" s="8"/>
      <c r="C620" s="8"/>
      <c r="O620" s="9"/>
    </row>
    <row r="621">
      <c r="A621" s="8"/>
      <c r="C621" s="8"/>
      <c r="O621" s="9"/>
    </row>
    <row r="622">
      <c r="A622" s="8"/>
      <c r="C622" s="8"/>
      <c r="O622" s="9"/>
    </row>
    <row r="623">
      <c r="A623" s="8"/>
      <c r="C623" s="8"/>
      <c r="O623" s="9"/>
    </row>
    <row r="624">
      <c r="A624" s="8"/>
      <c r="C624" s="8"/>
      <c r="O624" s="9"/>
    </row>
    <row r="625">
      <c r="A625" s="8"/>
      <c r="C625" s="8"/>
      <c r="O625" s="9"/>
    </row>
    <row r="626">
      <c r="A626" s="8"/>
      <c r="C626" s="8"/>
      <c r="O626" s="9"/>
    </row>
    <row r="627">
      <c r="A627" s="8"/>
      <c r="C627" s="8"/>
      <c r="O627" s="9"/>
    </row>
    <row r="628">
      <c r="A628" s="8"/>
      <c r="C628" s="8"/>
      <c r="O628" s="9"/>
    </row>
    <row r="629">
      <c r="A629" s="8"/>
      <c r="C629" s="8"/>
      <c r="O629" s="9"/>
    </row>
    <row r="630">
      <c r="A630" s="8"/>
      <c r="C630" s="8"/>
      <c r="O630" s="9"/>
    </row>
    <row r="631">
      <c r="A631" s="8"/>
      <c r="C631" s="8"/>
      <c r="O631" s="9"/>
    </row>
    <row r="632">
      <c r="A632" s="8"/>
      <c r="C632" s="8"/>
      <c r="O632" s="9"/>
    </row>
    <row r="633">
      <c r="A633" s="8"/>
      <c r="C633" s="8"/>
      <c r="O633" s="9"/>
    </row>
    <row r="634">
      <c r="A634" s="8"/>
      <c r="C634" s="8"/>
      <c r="O634" s="9"/>
    </row>
    <row r="635">
      <c r="A635" s="8"/>
      <c r="C635" s="8"/>
      <c r="O635" s="9"/>
    </row>
    <row r="636">
      <c r="A636" s="8"/>
      <c r="C636" s="8"/>
      <c r="O636" s="9"/>
    </row>
    <row r="637">
      <c r="A637" s="8"/>
      <c r="C637" s="8"/>
      <c r="O637" s="9"/>
    </row>
    <row r="638">
      <c r="A638" s="8"/>
      <c r="C638" s="8"/>
      <c r="O638" s="9"/>
    </row>
    <row r="639">
      <c r="A639" s="8"/>
      <c r="C639" s="8"/>
      <c r="O639" s="9"/>
    </row>
    <row r="640">
      <c r="A640" s="8"/>
      <c r="C640" s="8"/>
      <c r="O640" s="9"/>
    </row>
    <row r="641">
      <c r="A641" s="8"/>
      <c r="C641" s="8"/>
      <c r="O641" s="9"/>
    </row>
    <row r="642">
      <c r="A642" s="8"/>
      <c r="C642" s="8"/>
      <c r="O642" s="9"/>
    </row>
    <row r="643">
      <c r="A643" s="8"/>
      <c r="C643" s="8"/>
      <c r="O643" s="9"/>
    </row>
    <row r="644">
      <c r="A644" s="8"/>
      <c r="C644" s="8"/>
      <c r="O644" s="9"/>
    </row>
    <row r="645">
      <c r="A645" s="8"/>
      <c r="C645" s="8"/>
      <c r="O645" s="9"/>
    </row>
    <row r="646">
      <c r="A646" s="8"/>
      <c r="C646" s="8"/>
      <c r="O646" s="9"/>
    </row>
    <row r="647">
      <c r="A647" s="8"/>
      <c r="C647" s="8"/>
      <c r="O647" s="9"/>
    </row>
    <row r="648">
      <c r="A648" s="8"/>
      <c r="C648" s="8"/>
      <c r="O648" s="9"/>
    </row>
    <row r="649">
      <c r="A649" s="8"/>
      <c r="C649" s="8"/>
      <c r="O649" s="9"/>
    </row>
    <row r="650">
      <c r="A650" s="8"/>
      <c r="C650" s="8"/>
      <c r="O650" s="9"/>
    </row>
    <row r="651">
      <c r="A651" s="8"/>
      <c r="C651" s="8"/>
      <c r="O651" s="9"/>
    </row>
    <row r="652">
      <c r="A652" s="8"/>
      <c r="C652" s="8"/>
      <c r="O652" s="9"/>
    </row>
    <row r="653">
      <c r="A653" s="8"/>
      <c r="C653" s="8"/>
      <c r="O653" s="9"/>
    </row>
    <row r="654">
      <c r="A654" s="8"/>
      <c r="C654" s="8"/>
      <c r="O654" s="9"/>
    </row>
    <row r="655">
      <c r="A655" s="8"/>
      <c r="C655" s="8"/>
      <c r="O655" s="9"/>
    </row>
    <row r="656">
      <c r="A656" s="8"/>
      <c r="C656" s="8"/>
      <c r="O656" s="9"/>
    </row>
    <row r="657">
      <c r="A657" s="8"/>
      <c r="C657" s="8"/>
      <c r="O657" s="9"/>
    </row>
    <row r="658">
      <c r="A658" s="8"/>
      <c r="C658" s="8"/>
      <c r="O658" s="9"/>
    </row>
    <row r="659">
      <c r="A659" s="8"/>
      <c r="C659" s="8"/>
      <c r="O659" s="9"/>
    </row>
    <row r="660">
      <c r="A660" s="8"/>
      <c r="C660" s="8"/>
      <c r="O660" s="9"/>
    </row>
    <row r="661">
      <c r="A661" s="8"/>
      <c r="C661" s="8"/>
      <c r="O661" s="9"/>
    </row>
    <row r="662">
      <c r="A662" s="8"/>
      <c r="C662" s="8"/>
      <c r="O662" s="9"/>
    </row>
    <row r="663">
      <c r="A663" s="8"/>
      <c r="C663" s="8"/>
      <c r="O663" s="9"/>
    </row>
    <row r="664">
      <c r="A664" s="8"/>
      <c r="C664" s="8"/>
      <c r="O664" s="9"/>
    </row>
    <row r="665">
      <c r="A665" s="8"/>
      <c r="C665" s="8"/>
      <c r="O665" s="9"/>
    </row>
    <row r="666">
      <c r="A666" s="8"/>
      <c r="C666" s="8"/>
      <c r="O666" s="9"/>
    </row>
    <row r="667">
      <c r="A667" s="8"/>
      <c r="C667" s="8"/>
      <c r="O667" s="9"/>
    </row>
    <row r="668">
      <c r="A668" s="8"/>
      <c r="C668" s="8"/>
      <c r="O668" s="9"/>
    </row>
    <row r="669">
      <c r="A669" s="8"/>
      <c r="C669" s="8"/>
      <c r="O669" s="9"/>
    </row>
    <row r="670">
      <c r="A670" s="8"/>
      <c r="C670" s="8"/>
      <c r="O670" s="9"/>
    </row>
    <row r="671">
      <c r="A671" s="8"/>
      <c r="C671" s="8"/>
      <c r="O671" s="9"/>
    </row>
    <row r="672">
      <c r="A672" s="8"/>
      <c r="C672" s="8"/>
      <c r="O672" s="9"/>
    </row>
    <row r="673">
      <c r="A673" s="8"/>
      <c r="C673" s="8"/>
      <c r="O673" s="9"/>
    </row>
    <row r="674">
      <c r="A674" s="8"/>
      <c r="C674" s="8"/>
      <c r="O674" s="9"/>
    </row>
    <row r="675">
      <c r="A675" s="8"/>
      <c r="C675" s="8"/>
      <c r="O675" s="9"/>
    </row>
    <row r="676">
      <c r="A676" s="8"/>
      <c r="C676" s="8"/>
      <c r="O676" s="9"/>
    </row>
    <row r="677">
      <c r="A677" s="8"/>
      <c r="C677" s="8"/>
      <c r="O677" s="9"/>
    </row>
    <row r="678">
      <c r="A678" s="8"/>
      <c r="C678" s="8"/>
      <c r="O678" s="9"/>
    </row>
    <row r="679">
      <c r="A679" s="8"/>
      <c r="C679" s="8"/>
      <c r="O679" s="9"/>
    </row>
    <row r="680">
      <c r="A680" s="8"/>
      <c r="C680" s="8"/>
      <c r="O680" s="9"/>
    </row>
    <row r="681">
      <c r="A681" s="8"/>
      <c r="C681" s="8"/>
      <c r="O681" s="9"/>
    </row>
    <row r="682">
      <c r="A682" s="8"/>
      <c r="C682" s="8"/>
      <c r="O682" s="9"/>
    </row>
    <row r="683">
      <c r="A683" s="8"/>
      <c r="C683" s="8"/>
      <c r="O683" s="9"/>
    </row>
    <row r="684">
      <c r="A684" s="8"/>
      <c r="C684" s="8"/>
      <c r="O684" s="9"/>
    </row>
    <row r="685">
      <c r="A685" s="8"/>
      <c r="C685" s="8"/>
      <c r="O685" s="9"/>
    </row>
    <row r="686">
      <c r="A686" s="8"/>
      <c r="C686" s="8"/>
      <c r="O686" s="9"/>
    </row>
    <row r="687">
      <c r="A687" s="8"/>
      <c r="C687" s="8"/>
      <c r="O687" s="9"/>
    </row>
    <row r="688">
      <c r="A688" s="8"/>
      <c r="C688" s="8"/>
      <c r="O688" s="9"/>
    </row>
    <row r="689">
      <c r="A689" s="8"/>
      <c r="C689" s="8"/>
      <c r="O689" s="9"/>
    </row>
    <row r="690">
      <c r="A690" s="8"/>
      <c r="C690" s="8"/>
      <c r="O690" s="9"/>
    </row>
    <row r="691">
      <c r="A691" s="8"/>
      <c r="C691" s="8"/>
      <c r="O691" s="9"/>
    </row>
    <row r="692">
      <c r="A692" s="8"/>
      <c r="C692" s="8"/>
      <c r="O692" s="9"/>
    </row>
    <row r="693">
      <c r="A693" s="8"/>
      <c r="C693" s="8"/>
      <c r="O693" s="9"/>
    </row>
    <row r="694">
      <c r="A694" s="8"/>
      <c r="C694" s="8"/>
      <c r="O694" s="9"/>
    </row>
    <row r="695">
      <c r="A695" s="8"/>
      <c r="C695" s="8"/>
      <c r="O695" s="9"/>
    </row>
    <row r="696">
      <c r="A696" s="8"/>
      <c r="C696" s="8"/>
      <c r="O696" s="9"/>
    </row>
    <row r="697">
      <c r="A697" s="8"/>
      <c r="C697" s="8"/>
      <c r="O697" s="9"/>
    </row>
    <row r="698">
      <c r="A698" s="8"/>
      <c r="C698" s="8"/>
      <c r="O698" s="9"/>
    </row>
    <row r="699">
      <c r="A699" s="8"/>
      <c r="C699" s="8"/>
      <c r="O699" s="9"/>
    </row>
    <row r="700">
      <c r="A700" s="8"/>
      <c r="C700" s="8"/>
      <c r="O700" s="9"/>
    </row>
    <row r="701">
      <c r="A701" s="8"/>
      <c r="C701" s="8"/>
      <c r="O701" s="9"/>
    </row>
    <row r="702">
      <c r="A702" s="8"/>
      <c r="C702" s="8"/>
      <c r="O702" s="9"/>
    </row>
    <row r="703">
      <c r="A703" s="8"/>
      <c r="C703" s="8"/>
      <c r="O703" s="9"/>
    </row>
    <row r="704">
      <c r="A704" s="8"/>
      <c r="C704" s="8"/>
      <c r="O704" s="9"/>
    </row>
    <row r="705">
      <c r="A705" s="8"/>
      <c r="C705" s="8"/>
      <c r="O705" s="9"/>
    </row>
    <row r="706">
      <c r="A706" s="8"/>
      <c r="C706" s="8"/>
      <c r="O706" s="9"/>
    </row>
    <row r="707">
      <c r="A707" s="8"/>
      <c r="C707" s="8"/>
      <c r="O707" s="9"/>
    </row>
    <row r="708">
      <c r="A708" s="8"/>
      <c r="C708" s="8"/>
      <c r="O708" s="9"/>
    </row>
    <row r="709">
      <c r="A709" s="8"/>
      <c r="C709" s="8"/>
      <c r="O709" s="9"/>
    </row>
    <row r="710">
      <c r="A710" s="8"/>
      <c r="C710" s="8"/>
      <c r="O710" s="9"/>
    </row>
    <row r="711">
      <c r="A711" s="8"/>
      <c r="C711" s="8"/>
      <c r="O711" s="9"/>
    </row>
    <row r="712">
      <c r="A712" s="8"/>
      <c r="C712" s="8"/>
      <c r="O712" s="9"/>
    </row>
    <row r="713">
      <c r="A713" s="8"/>
      <c r="C713" s="8"/>
      <c r="O713" s="9"/>
    </row>
    <row r="714">
      <c r="A714" s="8"/>
      <c r="C714" s="8"/>
      <c r="O714" s="9"/>
    </row>
    <row r="715">
      <c r="A715" s="8"/>
      <c r="C715" s="8"/>
      <c r="O715" s="9"/>
    </row>
    <row r="716">
      <c r="A716" s="8"/>
      <c r="C716" s="8"/>
      <c r="O716" s="9"/>
    </row>
    <row r="717">
      <c r="A717" s="8"/>
      <c r="C717" s="8"/>
      <c r="O717" s="9"/>
    </row>
    <row r="718">
      <c r="A718" s="8"/>
      <c r="C718" s="8"/>
      <c r="O718" s="9"/>
    </row>
    <row r="719">
      <c r="A719" s="8"/>
      <c r="C719" s="8"/>
      <c r="O719" s="9"/>
    </row>
    <row r="720">
      <c r="A720" s="8"/>
      <c r="C720" s="8"/>
      <c r="O720" s="9"/>
    </row>
    <row r="721">
      <c r="A721" s="8"/>
      <c r="C721" s="8"/>
      <c r="O721" s="9"/>
    </row>
    <row r="722">
      <c r="A722" s="8"/>
      <c r="C722" s="8"/>
      <c r="O722" s="9"/>
    </row>
    <row r="723">
      <c r="A723" s="8"/>
      <c r="C723" s="8"/>
      <c r="O723" s="9"/>
    </row>
    <row r="724">
      <c r="A724" s="8"/>
      <c r="C724" s="8"/>
      <c r="O724" s="9"/>
    </row>
    <row r="725">
      <c r="A725" s="8"/>
      <c r="C725" s="8"/>
      <c r="O725" s="9"/>
    </row>
    <row r="726">
      <c r="A726" s="8"/>
      <c r="C726" s="8"/>
      <c r="O726" s="9"/>
    </row>
    <row r="727">
      <c r="A727" s="8"/>
      <c r="C727" s="8"/>
      <c r="O727" s="9"/>
    </row>
    <row r="728">
      <c r="A728" s="8"/>
      <c r="C728" s="8"/>
      <c r="O728" s="9"/>
    </row>
    <row r="729">
      <c r="A729" s="8"/>
      <c r="C729" s="8"/>
      <c r="O729" s="9"/>
    </row>
    <row r="730">
      <c r="A730" s="8"/>
      <c r="C730" s="8"/>
      <c r="O730" s="9"/>
    </row>
    <row r="731">
      <c r="A731" s="8"/>
      <c r="C731" s="8"/>
      <c r="O731" s="9"/>
    </row>
    <row r="732">
      <c r="A732" s="8"/>
      <c r="C732" s="8"/>
      <c r="O732" s="9"/>
    </row>
    <row r="733">
      <c r="A733" s="8"/>
      <c r="C733" s="8"/>
      <c r="O733" s="9"/>
    </row>
    <row r="734">
      <c r="A734" s="8"/>
      <c r="C734" s="8"/>
      <c r="O734" s="9"/>
    </row>
    <row r="735">
      <c r="A735" s="8"/>
      <c r="C735" s="8"/>
      <c r="O735" s="9"/>
    </row>
    <row r="736">
      <c r="A736" s="8"/>
      <c r="C736" s="8"/>
      <c r="O736" s="9"/>
    </row>
    <row r="737">
      <c r="A737" s="8"/>
      <c r="C737" s="8"/>
      <c r="O737" s="9"/>
    </row>
    <row r="738">
      <c r="A738" s="8"/>
      <c r="C738" s="8"/>
      <c r="O738" s="9"/>
    </row>
    <row r="739">
      <c r="A739" s="8"/>
      <c r="C739" s="8"/>
      <c r="O739" s="9"/>
    </row>
    <row r="740">
      <c r="A740" s="8"/>
      <c r="C740" s="8"/>
      <c r="O740" s="9"/>
    </row>
    <row r="741">
      <c r="A741" s="8"/>
      <c r="C741" s="8"/>
      <c r="O741" s="9"/>
    </row>
    <row r="742">
      <c r="A742" s="8"/>
      <c r="C742" s="8"/>
      <c r="O742" s="9"/>
    </row>
    <row r="743">
      <c r="A743" s="8"/>
      <c r="C743" s="8"/>
      <c r="O743" s="9"/>
    </row>
    <row r="744">
      <c r="A744" s="8"/>
      <c r="C744" s="8"/>
      <c r="O744" s="9"/>
    </row>
    <row r="745">
      <c r="A745" s="8"/>
      <c r="C745" s="8"/>
      <c r="O745" s="9"/>
    </row>
    <row r="746">
      <c r="A746" s="8"/>
      <c r="C746" s="8"/>
      <c r="O746" s="9"/>
    </row>
    <row r="747">
      <c r="A747" s="8"/>
      <c r="C747" s="8"/>
      <c r="O747" s="9"/>
    </row>
    <row r="748">
      <c r="A748" s="8"/>
      <c r="C748" s="8"/>
      <c r="O748" s="9"/>
    </row>
    <row r="749">
      <c r="A749" s="8"/>
      <c r="C749" s="8"/>
      <c r="O749" s="9"/>
    </row>
    <row r="750">
      <c r="A750" s="8"/>
      <c r="C750" s="8"/>
      <c r="O750" s="9"/>
    </row>
    <row r="751">
      <c r="A751" s="8"/>
      <c r="C751" s="8"/>
      <c r="O751" s="9"/>
    </row>
    <row r="752">
      <c r="A752" s="8"/>
      <c r="C752" s="8"/>
      <c r="O752" s="9"/>
    </row>
    <row r="753">
      <c r="A753" s="8"/>
      <c r="C753" s="8"/>
      <c r="O753" s="9"/>
    </row>
    <row r="754">
      <c r="A754" s="8"/>
      <c r="C754" s="8"/>
      <c r="O754" s="9"/>
    </row>
    <row r="755">
      <c r="A755" s="8"/>
      <c r="C755" s="8"/>
      <c r="O755" s="9"/>
    </row>
    <row r="756">
      <c r="A756" s="8"/>
      <c r="C756" s="8"/>
      <c r="O756" s="9"/>
    </row>
    <row r="757">
      <c r="A757" s="8"/>
      <c r="C757" s="8"/>
      <c r="O757" s="9"/>
    </row>
    <row r="758">
      <c r="A758" s="8"/>
      <c r="C758" s="8"/>
      <c r="O758" s="9"/>
    </row>
    <row r="759">
      <c r="A759" s="8"/>
      <c r="C759" s="8"/>
      <c r="O759" s="9"/>
    </row>
    <row r="760">
      <c r="A760" s="8"/>
      <c r="C760" s="8"/>
      <c r="O760" s="9"/>
    </row>
    <row r="761">
      <c r="A761" s="8"/>
      <c r="C761" s="8"/>
      <c r="O761" s="9"/>
    </row>
    <row r="762">
      <c r="A762" s="8"/>
      <c r="C762" s="8"/>
      <c r="O762" s="9"/>
    </row>
    <row r="763">
      <c r="A763" s="8"/>
      <c r="C763" s="8"/>
      <c r="O763" s="9"/>
    </row>
    <row r="764">
      <c r="A764" s="8"/>
      <c r="C764" s="8"/>
      <c r="O764" s="9"/>
    </row>
    <row r="765">
      <c r="A765" s="8"/>
      <c r="C765" s="8"/>
      <c r="O765" s="9"/>
    </row>
    <row r="766">
      <c r="A766" s="8"/>
      <c r="C766" s="8"/>
      <c r="O766" s="9"/>
    </row>
    <row r="767">
      <c r="A767" s="8"/>
      <c r="C767" s="8"/>
      <c r="O767" s="9"/>
    </row>
    <row r="768">
      <c r="A768" s="8"/>
      <c r="C768" s="8"/>
      <c r="O768" s="9"/>
    </row>
    <row r="769">
      <c r="A769" s="8"/>
      <c r="C769" s="8"/>
      <c r="O769" s="9"/>
    </row>
    <row r="770">
      <c r="A770" s="8"/>
      <c r="C770" s="8"/>
      <c r="O770" s="9"/>
    </row>
    <row r="771">
      <c r="A771" s="8"/>
      <c r="C771" s="8"/>
      <c r="O771" s="9"/>
    </row>
    <row r="772">
      <c r="A772" s="8"/>
      <c r="C772" s="8"/>
      <c r="O772" s="9"/>
    </row>
    <row r="773">
      <c r="A773" s="8"/>
      <c r="C773" s="8"/>
      <c r="O773" s="9"/>
    </row>
    <row r="774">
      <c r="A774" s="8"/>
      <c r="C774" s="8"/>
      <c r="O774" s="9"/>
    </row>
    <row r="775">
      <c r="A775" s="8"/>
      <c r="C775" s="8"/>
      <c r="O775" s="9"/>
    </row>
    <row r="776">
      <c r="A776" s="8"/>
      <c r="C776" s="8"/>
      <c r="O776" s="9"/>
    </row>
    <row r="777">
      <c r="A777" s="8"/>
      <c r="C777" s="8"/>
      <c r="O777" s="9"/>
    </row>
    <row r="778">
      <c r="A778" s="8"/>
      <c r="C778" s="8"/>
      <c r="O778" s="9"/>
    </row>
    <row r="779">
      <c r="A779" s="8"/>
      <c r="C779" s="8"/>
      <c r="O779" s="9"/>
    </row>
    <row r="780">
      <c r="A780" s="8"/>
      <c r="C780" s="8"/>
      <c r="O780" s="9"/>
    </row>
    <row r="781">
      <c r="A781" s="8"/>
      <c r="C781" s="8"/>
      <c r="O781" s="9"/>
    </row>
    <row r="782">
      <c r="A782" s="8"/>
      <c r="C782" s="8"/>
      <c r="O782" s="9"/>
    </row>
    <row r="783">
      <c r="A783" s="8"/>
      <c r="C783" s="8"/>
      <c r="O783" s="9"/>
    </row>
    <row r="784">
      <c r="A784" s="8"/>
      <c r="C784" s="8"/>
      <c r="O784" s="9"/>
    </row>
    <row r="785">
      <c r="A785" s="8"/>
      <c r="C785" s="8"/>
      <c r="O785" s="9"/>
    </row>
    <row r="786">
      <c r="A786" s="8"/>
      <c r="C786" s="8"/>
      <c r="O786" s="9"/>
    </row>
    <row r="787">
      <c r="A787" s="8"/>
      <c r="C787" s="8"/>
      <c r="O787" s="9"/>
    </row>
    <row r="788">
      <c r="A788" s="8"/>
      <c r="C788" s="8"/>
      <c r="O788" s="9"/>
    </row>
    <row r="789">
      <c r="A789" s="8"/>
      <c r="C789" s="8"/>
      <c r="O789" s="9"/>
    </row>
    <row r="790">
      <c r="A790" s="8"/>
      <c r="C790" s="8"/>
      <c r="O790" s="9"/>
    </row>
    <row r="791">
      <c r="A791" s="8"/>
      <c r="C791" s="8"/>
      <c r="O791" s="9"/>
    </row>
    <row r="792">
      <c r="A792" s="8"/>
      <c r="C792" s="8"/>
      <c r="O792" s="9"/>
    </row>
    <row r="793">
      <c r="A793" s="8"/>
      <c r="C793" s="8"/>
      <c r="O793" s="9"/>
    </row>
    <row r="794">
      <c r="A794" s="8"/>
      <c r="C794" s="8"/>
      <c r="O794" s="9"/>
    </row>
    <row r="795">
      <c r="A795" s="8"/>
      <c r="C795" s="8"/>
      <c r="O795" s="9"/>
    </row>
    <row r="796">
      <c r="A796" s="8"/>
      <c r="C796" s="8"/>
      <c r="O796" s="9"/>
    </row>
    <row r="797">
      <c r="A797" s="8"/>
      <c r="C797" s="8"/>
      <c r="O797" s="9"/>
    </row>
    <row r="798">
      <c r="A798" s="8"/>
      <c r="C798" s="8"/>
      <c r="O798" s="9"/>
    </row>
    <row r="799">
      <c r="A799" s="8"/>
      <c r="C799" s="8"/>
      <c r="O799" s="9"/>
    </row>
    <row r="800">
      <c r="A800" s="8"/>
      <c r="C800" s="8"/>
      <c r="O800" s="9"/>
    </row>
    <row r="801">
      <c r="A801" s="8"/>
      <c r="C801" s="8"/>
      <c r="O801" s="9"/>
    </row>
    <row r="802">
      <c r="A802" s="8"/>
      <c r="C802" s="8"/>
      <c r="O802" s="9"/>
    </row>
    <row r="803">
      <c r="A803" s="8"/>
      <c r="C803" s="8"/>
      <c r="O803" s="9"/>
    </row>
    <row r="804">
      <c r="A804" s="8"/>
      <c r="C804" s="8"/>
      <c r="O804" s="9"/>
    </row>
    <row r="805">
      <c r="A805" s="8"/>
      <c r="C805" s="8"/>
      <c r="O805" s="9"/>
    </row>
    <row r="806">
      <c r="A806" s="8"/>
      <c r="C806" s="8"/>
      <c r="O806" s="9"/>
    </row>
    <row r="807">
      <c r="A807" s="8"/>
      <c r="C807" s="8"/>
      <c r="O807" s="9"/>
    </row>
    <row r="808">
      <c r="A808" s="8"/>
      <c r="C808" s="8"/>
      <c r="O808" s="9"/>
    </row>
    <row r="809">
      <c r="A809" s="8"/>
      <c r="C809" s="8"/>
      <c r="O809" s="9"/>
    </row>
    <row r="810">
      <c r="A810" s="8"/>
      <c r="C810" s="8"/>
      <c r="O810" s="9"/>
    </row>
    <row r="811">
      <c r="A811" s="8"/>
      <c r="C811" s="8"/>
      <c r="O811" s="9"/>
    </row>
    <row r="812">
      <c r="A812" s="8"/>
      <c r="C812" s="8"/>
      <c r="O812" s="9"/>
    </row>
    <row r="813">
      <c r="A813" s="8"/>
      <c r="C813" s="8"/>
      <c r="O813" s="9"/>
    </row>
    <row r="814">
      <c r="A814" s="8"/>
      <c r="C814" s="8"/>
      <c r="O814" s="9"/>
    </row>
    <row r="815">
      <c r="A815" s="8"/>
      <c r="C815" s="8"/>
      <c r="O815" s="9"/>
    </row>
    <row r="816">
      <c r="A816" s="8"/>
      <c r="C816" s="8"/>
      <c r="O816" s="9"/>
    </row>
    <row r="817">
      <c r="A817" s="8"/>
      <c r="C817" s="8"/>
      <c r="O817" s="9"/>
    </row>
    <row r="818">
      <c r="A818" s="8"/>
      <c r="C818" s="8"/>
      <c r="O818" s="9"/>
    </row>
    <row r="819">
      <c r="A819" s="8"/>
      <c r="C819" s="8"/>
      <c r="O819" s="9"/>
    </row>
    <row r="820">
      <c r="A820" s="8"/>
      <c r="C820" s="8"/>
      <c r="O820" s="9"/>
    </row>
    <row r="821">
      <c r="A821" s="8"/>
      <c r="C821" s="8"/>
      <c r="O821" s="9"/>
    </row>
    <row r="822">
      <c r="A822" s="8"/>
      <c r="C822" s="8"/>
      <c r="O822" s="9"/>
    </row>
    <row r="823">
      <c r="A823" s="8"/>
      <c r="C823" s="8"/>
      <c r="O823" s="9"/>
    </row>
    <row r="824">
      <c r="A824" s="8"/>
      <c r="C824" s="8"/>
      <c r="O824" s="9"/>
    </row>
    <row r="825">
      <c r="A825" s="8"/>
      <c r="C825" s="8"/>
      <c r="O825" s="9"/>
    </row>
    <row r="826">
      <c r="A826" s="8"/>
      <c r="C826" s="8"/>
      <c r="O826" s="9"/>
    </row>
    <row r="827">
      <c r="A827" s="8"/>
      <c r="C827" s="8"/>
      <c r="O827" s="9"/>
    </row>
    <row r="828">
      <c r="A828" s="8"/>
      <c r="C828" s="8"/>
      <c r="O828" s="9"/>
    </row>
    <row r="829">
      <c r="A829" s="8"/>
      <c r="C829" s="8"/>
      <c r="O829" s="9"/>
    </row>
    <row r="830">
      <c r="A830" s="8"/>
      <c r="C830" s="8"/>
      <c r="O830" s="9"/>
    </row>
    <row r="831">
      <c r="A831" s="8"/>
      <c r="C831" s="8"/>
      <c r="O831" s="9"/>
    </row>
    <row r="832">
      <c r="A832" s="8"/>
      <c r="C832" s="8"/>
      <c r="O832" s="9"/>
    </row>
    <row r="833">
      <c r="A833" s="8"/>
      <c r="C833" s="8"/>
      <c r="O833" s="9"/>
    </row>
    <row r="834">
      <c r="A834" s="8"/>
      <c r="C834" s="8"/>
      <c r="O834" s="9"/>
    </row>
    <row r="835">
      <c r="A835" s="8"/>
      <c r="C835" s="8"/>
      <c r="O835" s="9"/>
    </row>
    <row r="836">
      <c r="A836" s="8"/>
      <c r="C836" s="8"/>
      <c r="O836" s="9"/>
    </row>
    <row r="837">
      <c r="A837" s="8"/>
      <c r="C837" s="8"/>
      <c r="O837" s="9"/>
    </row>
    <row r="838">
      <c r="A838" s="8"/>
      <c r="C838" s="8"/>
      <c r="O838" s="9"/>
    </row>
    <row r="839">
      <c r="A839" s="8"/>
      <c r="C839" s="8"/>
      <c r="O839" s="9"/>
    </row>
    <row r="840">
      <c r="A840" s="8"/>
      <c r="C840" s="8"/>
      <c r="O840" s="9"/>
    </row>
    <row r="841">
      <c r="A841" s="8"/>
      <c r="C841" s="8"/>
      <c r="O841" s="9"/>
    </row>
    <row r="842">
      <c r="A842" s="8"/>
      <c r="C842" s="8"/>
      <c r="O842" s="9"/>
    </row>
    <row r="843">
      <c r="A843" s="8"/>
      <c r="C843" s="8"/>
      <c r="O843" s="9"/>
    </row>
    <row r="844">
      <c r="A844" s="8"/>
      <c r="C844" s="8"/>
      <c r="O844" s="9"/>
    </row>
    <row r="845">
      <c r="A845" s="8"/>
      <c r="C845" s="8"/>
      <c r="O845" s="9"/>
    </row>
    <row r="846">
      <c r="A846" s="8"/>
      <c r="C846" s="8"/>
      <c r="O846" s="9"/>
    </row>
    <row r="847">
      <c r="A847" s="8"/>
      <c r="C847" s="8"/>
      <c r="O847" s="9"/>
    </row>
    <row r="848">
      <c r="A848" s="8"/>
      <c r="C848" s="8"/>
      <c r="O848" s="9"/>
    </row>
    <row r="849">
      <c r="A849" s="8"/>
      <c r="C849" s="8"/>
      <c r="O849" s="9"/>
    </row>
    <row r="850">
      <c r="A850" s="8"/>
      <c r="C850" s="8"/>
      <c r="O850" s="9"/>
    </row>
    <row r="851">
      <c r="A851" s="8"/>
      <c r="C851" s="8"/>
      <c r="O851" s="9"/>
    </row>
    <row r="852">
      <c r="A852" s="8"/>
      <c r="C852" s="8"/>
      <c r="O852" s="9"/>
    </row>
    <row r="853">
      <c r="A853" s="8"/>
      <c r="C853" s="8"/>
      <c r="O853" s="9"/>
    </row>
    <row r="854">
      <c r="A854" s="8"/>
      <c r="C854" s="8"/>
      <c r="O854" s="9"/>
    </row>
    <row r="855">
      <c r="A855" s="8"/>
      <c r="C855" s="8"/>
      <c r="O855" s="9"/>
    </row>
    <row r="856">
      <c r="A856" s="8"/>
      <c r="C856" s="8"/>
      <c r="O856" s="9"/>
    </row>
    <row r="857">
      <c r="A857" s="8"/>
      <c r="C857" s="8"/>
      <c r="O857" s="9"/>
    </row>
    <row r="858">
      <c r="A858" s="8"/>
      <c r="C858" s="8"/>
      <c r="O858" s="9"/>
    </row>
    <row r="859">
      <c r="A859" s="8"/>
      <c r="C859" s="8"/>
      <c r="O859" s="9"/>
    </row>
    <row r="860">
      <c r="A860" s="8"/>
      <c r="C860" s="8"/>
      <c r="O860" s="9"/>
    </row>
    <row r="861">
      <c r="A861" s="8"/>
      <c r="C861" s="8"/>
      <c r="O861" s="9"/>
    </row>
    <row r="862">
      <c r="A862" s="8"/>
      <c r="C862" s="8"/>
      <c r="O862" s="9"/>
    </row>
    <row r="863">
      <c r="A863" s="8"/>
      <c r="C863" s="8"/>
      <c r="O863" s="9"/>
    </row>
    <row r="864">
      <c r="A864" s="8"/>
      <c r="C864" s="8"/>
      <c r="O864" s="9"/>
    </row>
    <row r="865">
      <c r="A865" s="8"/>
      <c r="C865" s="8"/>
      <c r="O865" s="9"/>
    </row>
    <row r="866">
      <c r="A866" s="8"/>
      <c r="C866" s="8"/>
      <c r="O866" s="9"/>
    </row>
    <row r="867">
      <c r="A867" s="8"/>
      <c r="C867" s="8"/>
      <c r="O867" s="9"/>
    </row>
    <row r="868">
      <c r="A868" s="8"/>
      <c r="C868" s="8"/>
      <c r="O868" s="9"/>
    </row>
    <row r="869">
      <c r="A869" s="8"/>
      <c r="C869" s="8"/>
      <c r="O869" s="9"/>
    </row>
    <row r="870">
      <c r="A870" s="8"/>
      <c r="C870" s="8"/>
      <c r="O870" s="9"/>
    </row>
    <row r="871">
      <c r="A871" s="8"/>
      <c r="C871" s="8"/>
      <c r="O871" s="9"/>
    </row>
    <row r="872">
      <c r="A872" s="8"/>
      <c r="C872" s="8"/>
      <c r="O872" s="9"/>
    </row>
    <row r="873">
      <c r="A873" s="8"/>
      <c r="C873" s="8"/>
      <c r="O873" s="9"/>
    </row>
    <row r="874">
      <c r="A874" s="8"/>
      <c r="C874" s="8"/>
      <c r="O874" s="9"/>
    </row>
    <row r="875">
      <c r="A875" s="8"/>
      <c r="C875" s="8"/>
      <c r="O875" s="9"/>
    </row>
    <row r="876">
      <c r="A876" s="8"/>
      <c r="C876" s="8"/>
      <c r="O876" s="9"/>
    </row>
    <row r="877">
      <c r="A877" s="8"/>
      <c r="C877" s="8"/>
      <c r="O877" s="9"/>
    </row>
    <row r="878">
      <c r="A878" s="8"/>
      <c r="C878" s="8"/>
      <c r="O878" s="9"/>
    </row>
    <row r="879">
      <c r="A879" s="8"/>
      <c r="C879" s="8"/>
      <c r="O879" s="9"/>
    </row>
    <row r="880">
      <c r="A880" s="8"/>
      <c r="C880" s="8"/>
      <c r="O880" s="9"/>
    </row>
    <row r="881">
      <c r="A881" s="8"/>
      <c r="C881" s="8"/>
      <c r="O881" s="9"/>
    </row>
    <row r="882">
      <c r="A882" s="8"/>
      <c r="C882" s="8"/>
      <c r="O882" s="9"/>
    </row>
    <row r="883">
      <c r="A883" s="8"/>
      <c r="C883" s="8"/>
      <c r="O883" s="9"/>
    </row>
    <row r="884">
      <c r="A884" s="8"/>
      <c r="C884" s="8"/>
      <c r="O884" s="9"/>
    </row>
    <row r="885">
      <c r="A885" s="8"/>
      <c r="C885" s="8"/>
      <c r="O885" s="9"/>
    </row>
    <row r="886">
      <c r="A886" s="8"/>
      <c r="C886" s="8"/>
      <c r="O886" s="9"/>
    </row>
    <row r="887">
      <c r="A887" s="8"/>
      <c r="C887" s="8"/>
      <c r="O887" s="9"/>
    </row>
    <row r="888">
      <c r="A888" s="8"/>
      <c r="C888" s="8"/>
      <c r="O888" s="9"/>
    </row>
    <row r="889">
      <c r="A889" s="8"/>
      <c r="C889" s="8"/>
      <c r="O889" s="9"/>
    </row>
    <row r="890">
      <c r="A890" s="8"/>
      <c r="C890" s="8"/>
      <c r="O890" s="9"/>
    </row>
    <row r="891">
      <c r="A891" s="8"/>
      <c r="C891" s="8"/>
      <c r="O891" s="9"/>
    </row>
    <row r="892">
      <c r="A892" s="8"/>
      <c r="C892" s="8"/>
      <c r="O892" s="9"/>
    </row>
    <row r="893">
      <c r="A893" s="8"/>
      <c r="C893" s="8"/>
      <c r="O893" s="9"/>
    </row>
    <row r="894">
      <c r="A894" s="8"/>
      <c r="C894" s="8"/>
      <c r="O894" s="9"/>
    </row>
    <row r="895">
      <c r="A895" s="8"/>
      <c r="C895" s="8"/>
      <c r="O895" s="9"/>
    </row>
    <row r="896">
      <c r="A896" s="8"/>
      <c r="C896" s="8"/>
      <c r="O896" s="9"/>
    </row>
    <row r="897">
      <c r="A897" s="8"/>
      <c r="C897" s="8"/>
      <c r="O897" s="9"/>
    </row>
    <row r="898">
      <c r="A898" s="8"/>
      <c r="C898" s="8"/>
      <c r="O898" s="9"/>
    </row>
    <row r="899">
      <c r="A899" s="8"/>
      <c r="C899" s="8"/>
      <c r="O899" s="9"/>
    </row>
    <row r="900">
      <c r="A900" s="8"/>
      <c r="C900" s="8"/>
      <c r="O900" s="9"/>
    </row>
    <row r="901">
      <c r="A901" s="8"/>
      <c r="C901" s="8"/>
      <c r="O901" s="9"/>
    </row>
    <row r="902">
      <c r="A902" s="8"/>
      <c r="C902" s="8"/>
      <c r="O902" s="9"/>
    </row>
    <row r="903">
      <c r="A903" s="8"/>
      <c r="C903" s="8"/>
      <c r="O903" s="9"/>
    </row>
    <row r="904">
      <c r="A904" s="8"/>
      <c r="C904" s="8"/>
      <c r="O904" s="9"/>
    </row>
    <row r="905">
      <c r="A905" s="8"/>
      <c r="C905" s="8"/>
      <c r="O905" s="9"/>
    </row>
    <row r="906">
      <c r="A906" s="8"/>
      <c r="C906" s="8"/>
      <c r="O906" s="9"/>
    </row>
    <row r="907">
      <c r="A907" s="8"/>
      <c r="C907" s="8"/>
      <c r="O907" s="9"/>
    </row>
    <row r="908">
      <c r="A908" s="8"/>
      <c r="C908" s="8"/>
      <c r="O908" s="9"/>
    </row>
    <row r="909">
      <c r="A909" s="8"/>
      <c r="C909" s="8"/>
      <c r="O909" s="9"/>
    </row>
    <row r="910">
      <c r="A910" s="8"/>
      <c r="C910" s="8"/>
      <c r="O910" s="9"/>
    </row>
    <row r="911">
      <c r="A911" s="8"/>
      <c r="C911" s="8"/>
      <c r="O911" s="9"/>
    </row>
    <row r="912">
      <c r="A912" s="8"/>
      <c r="C912" s="8"/>
      <c r="O912" s="9"/>
    </row>
    <row r="913">
      <c r="A913" s="8"/>
      <c r="C913" s="8"/>
      <c r="O913" s="9"/>
    </row>
    <row r="914">
      <c r="A914" s="8"/>
      <c r="C914" s="8"/>
      <c r="O914" s="9"/>
    </row>
    <row r="915">
      <c r="A915" s="8"/>
      <c r="C915" s="8"/>
      <c r="O915" s="9"/>
    </row>
    <row r="916">
      <c r="A916" s="8"/>
      <c r="C916" s="8"/>
      <c r="O916" s="9"/>
    </row>
    <row r="917">
      <c r="A917" s="8"/>
      <c r="C917" s="8"/>
      <c r="O917" s="9"/>
    </row>
    <row r="918">
      <c r="A918" s="8"/>
      <c r="C918" s="8"/>
      <c r="O918" s="9"/>
    </row>
    <row r="919">
      <c r="A919" s="8"/>
      <c r="C919" s="8"/>
      <c r="O919" s="9"/>
    </row>
    <row r="920">
      <c r="A920" s="8"/>
      <c r="C920" s="8"/>
      <c r="O920" s="9"/>
    </row>
    <row r="921">
      <c r="A921" s="8"/>
      <c r="C921" s="8"/>
      <c r="O921" s="9"/>
    </row>
    <row r="922">
      <c r="A922" s="8"/>
      <c r="C922" s="8"/>
      <c r="O922" s="9"/>
    </row>
    <row r="923">
      <c r="A923" s="8"/>
      <c r="C923" s="8"/>
      <c r="O923" s="9"/>
    </row>
    <row r="924">
      <c r="A924" s="8"/>
      <c r="C924" s="8"/>
      <c r="O924" s="9"/>
    </row>
    <row r="925">
      <c r="A925" s="8"/>
      <c r="C925" s="8"/>
      <c r="O925" s="9"/>
    </row>
    <row r="926">
      <c r="A926" s="8"/>
      <c r="C926" s="8"/>
      <c r="O926" s="9"/>
    </row>
    <row r="927">
      <c r="A927" s="8"/>
      <c r="C927" s="8"/>
      <c r="O927" s="9"/>
    </row>
    <row r="928">
      <c r="A928" s="8"/>
      <c r="C928" s="8"/>
      <c r="O928" s="9"/>
    </row>
    <row r="929">
      <c r="A929" s="8"/>
      <c r="C929" s="8"/>
      <c r="O929" s="9"/>
    </row>
    <row r="930">
      <c r="A930" s="8"/>
      <c r="C930" s="8"/>
      <c r="O930" s="9"/>
    </row>
    <row r="931">
      <c r="A931" s="8"/>
      <c r="C931" s="8"/>
      <c r="O931" s="9"/>
    </row>
    <row r="932">
      <c r="A932" s="8"/>
      <c r="C932" s="8"/>
      <c r="O932" s="9"/>
    </row>
    <row r="933">
      <c r="A933" s="8"/>
      <c r="C933" s="8"/>
      <c r="O933" s="9"/>
    </row>
    <row r="934">
      <c r="A934" s="8"/>
      <c r="C934" s="8"/>
      <c r="O934" s="9"/>
    </row>
    <row r="935">
      <c r="A935" s="8"/>
      <c r="C935" s="8"/>
      <c r="O935" s="9"/>
    </row>
    <row r="936">
      <c r="A936" s="8"/>
      <c r="C936" s="8"/>
      <c r="O936" s="9"/>
    </row>
    <row r="937">
      <c r="A937" s="8"/>
      <c r="C937" s="8"/>
      <c r="O937" s="9"/>
    </row>
    <row r="938">
      <c r="A938" s="8"/>
      <c r="C938" s="8"/>
      <c r="O938" s="9"/>
    </row>
    <row r="939">
      <c r="A939" s="8"/>
      <c r="C939" s="8"/>
      <c r="O939" s="9"/>
    </row>
    <row r="940">
      <c r="A940" s="8"/>
      <c r="C940" s="8"/>
      <c r="O940" s="9"/>
    </row>
    <row r="941">
      <c r="A941" s="8"/>
      <c r="C941" s="8"/>
      <c r="O941" s="9"/>
    </row>
    <row r="942">
      <c r="A942" s="8"/>
      <c r="C942" s="8"/>
      <c r="O942" s="9"/>
    </row>
    <row r="943">
      <c r="A943" s="8"/>
      <c r="C943" s="8"/>
      <c r="O943" s="9"/>
    </row>
    <row r="944">
      <c r="A944" s="8"/>
      <c r="C944" s="8"/>
      <c r="O944" s="9"/>
    </row>
    <row r="945">
      <c r="A945" s="8"/>
      <c r="C945" s="8"/>
      <c r="O945" s="9"/>
    </row>
    <row r="946">
      <c r="A946" s="8"/>
      <c r="C946" s="8"/>
      <c r="O946" s="9"/>
    </row>
    <row r="947">
      <c r="A947" s="8"/>
      <c r="C947" s="8"/>
      <c r="O947" s="9"/>
    </row>
    <row r="948">
      <c r="A948" s="8"/>
      <c r="C948" s="8"/>
      <c r="O948" s="9"/>
    </row>
    <row r="949">
      <c r="A949" s="8"/>
      <c r="C949" s="8"/>
      <c r="O949" s="9"/>
    </row>
    <row r="950">
      <c r="A950" s="8"/>
      <c r="C950" s="8"/>
      <c r="O950" s="9"/>
    </row>
    <row r="951">
      <c r="A951" s="8"/>
      <c r="C951" s="8"/>
      <c r="O951" s="9"/>
    </row>
    <row r="952">
      <c r="A952" s="8"/>
      <c r="C952" s="8"/>
      <c r="O952" s="9"/>
    </row>
    <row r="953">
      <c r="A953" s="8"/>
      <c r="C953" s="8"/>
      <c r="O953" s="9"/>
    </row>
    <row r="954">
      <c r="A954" s="8"/>
      <c r="C954" s="8"/>
      <c r="O954" s="9"/>
    </row>
    <row r="955">
      <c r="A955" s="8"/>
      <c r="C955" s="8"/>
      <c r="O955" s="9"/>
    </row>
    <row r="956">
      <c r="A956" s="8"/>
      <c r="C956" s="8"/>
      <c r="O956" s="9"/>
    </row>
    <row r="957">
      <c r="A957" s="8"/>
      <c r="C957" s="8"/>
      <c r="O957" s="9"/>
    </row>
    <row r="958">
      <c r="A958" s="8"/>
      <c r="C958" s="8"/>
      <c r="O958" s="9"/>
    </row>
    <row r="959">
      <c r="A959" s="8"/>
      <c r="C959" s="8"/>
      <c r="O959" s="9"/>
    </row>
    <row r="960">
      <c r="A960" s="8"/>
      <c r="C960" s="8"/>
      <c r="O960" s="9"/>
    </row>
    <row r="961">
      <c r="A961" s="8"/>
      <c r="C961" s="8"/>
      <c r="O961" s="9"/>
    </row>
    <row r="962">
      <c r="A962" s="8"/>
      <c r="C962" s="8"/>
      <c r="O962" s="9"/>
    </row>
    <row r="963">
      <c r="A963" s="8"/>
      <c r="C963" s="8"/>
      <c r="O963" s="9"/>
    </row>
    <row r="964">
      <c r="A964" s="8"/>
      <c r="C964" s="8"/>
      <c r="O964" s="9"/>
    </row>
    <row r="965">
      <c r="A965" s="8"/>
      <c r="C965" s="8"/>
      <c r="O965" s="9"/>
    </row>
    <row r="966">
      <c r="A966" s="8"/>
      <c r="C966" s="8"/>
      <c r="O966" s="9"/>
    </row>
    <row r="967">
      <c r="A967" s="8"/>
      <c r="C967" s="8"/>
      <c r="O967" s="9"/>
    </row>
    <row r="968">
      <c r="A968" s="8"/>
      <c r="C968" s="8"/>
      <c r="O968" s="9"/>
    </row>
    <row r="969">
      <c r="A969" s="8"/>
      <c r="C969" s="8"/>
      <c r="O969" s="9"/>
    </row>
    <row r="970">
      <c r="A970" s="8"/>
      <c r="C970" s="8"/>
      <c r="O970" s="9"/>
    </row>
    <row r="971">
      <c r="A971" s="8"/>
      <c r="C971" s="8"/>
      <c r="O971" s="9"/>
    </row>
    <row r="972">
      <c r="A972" s="8"/>
      <c r="C972" s="8"/>
      <c r="O972" s="9"/>
    </row>
    <row r="973">
      <c r="A973" s="8"/>
      <c r="C973" s="8"/>
      <c r="O973" s="9"/>
    </row>
    <row r="974">
      <c r="A974" s="8"/>
      <c r="C974" s="8"/>
      <c r="O974" s="9"/>
    </row>
    <row r="975">
      <c r="A975" s="8"/>
      <c r="C975" s="8"/>
      <c r="O975" s="9"/>
    </row>
    <row r="976">
      <c r="A976" s="8"/>
      <c r="C976" s="8"/>
      <c r="O976" s="9"/>
    </row>
    <row r="977">
      <c r="A977" s="8"/>
      <c r="C977" s="8"/>
      <c r="O977" s="9"/>
    </row>
    <row r="978">
      <c r="A978" s="8"/>
      <c r="C978" s="8"/>
      <c r="O978" s="9"/>
    </row>
    <row r="979">
      <c r="A979" s="8"/>
      <c r="C979" s="8"/>
      <c r="O979" s="9"/>
    </row>
    <row r="980">
      <c r="A980" s="8"/>
      <c r="C980" s="8"/>
      <c r="O980" s="9"/>
    </row>
    <row r="981">
      <c r="A981" s="8"/>
      <c r="C981" s="8"/>
      <c r="O981" s="9"/>
    </row>
    <row r="982">
      <c r="A982" s="8"/>
      <c r="C982" s="8"/>
      <c r="O982" s="9"/>
    </row>
    <row r="983">
      <c r="A983" s="8"/>
      <c r="C983" s="8"/>
      <c r="O983" s="9"/>
    </row>
    <row r="984">
      <c r="A984" s="8"/>
      <c r="C984" s="8"/>
      <c r="O984" s="9"/>
    </row>
    <row r="985">
      <c r="A985" s="8"/>
      <c r="C985" s="8"/>
      <c r="O985" s="9"/>
    </row>
    <row r="986">
      <c r="A986" s="8"/>
      <c r="C986" s="8"/>
      <c r="O986" s="9"/>
    </row>
    <row r="987">
      <c r="A987" s="8"/>
      <c r="C987" s="8"/>
      <c r="O987" s="9"/>
    </row>
    <row r="988">
      <c r="A988" s="8"/>
      <c r="C988" s="8"/>
      <c r="O988" s="9"/>
    </row>
    <row r="989">
      <c r="A989" s="8"/>
      <c r="C989" s="8"/>
      <c r="O989" s="9"/>
    </row>
    <row r="990">
      <c r="A990" s="8"/>
      <c r="C990" s="8"/>
      <c r="O990" s="9"/>
    </row>
    <row r="991">
      <c r="A991" s="8"/>
      <c r="C991" s="8"/>
      <c r="O991" s="9"/>
    </row>
    <row r="992">
      <c r="A992" s="8"/>
      <c r="C992" s="8"/>
      <c r="O992" s="9"/>
    </row>
    <row r="993">
      <c r="A993" s="8"/>
      <c r="C993" s="8"/>
      <c r="O993" s="9"/>
    </row>
    <row r="994">
      <c r="A994" s="8"/>
      <c r="C994" s="8"/>
      <c r="O994" s="9"/>
    </row>
    <row r="995">
      <c r="A995" s="8"/>
      <c r="C995" s="8"/>
      <c r="O995" s="9"/>
    </row>
    <row r="996">
      <c r="A996" s="8"/>
      <c r="C996" s="8"/>
      <c r="O996" s="9"/>
    </row>
    <row r="997">
      <c r="A997" s="8"/>
      <c r="C997" s="8"/>
      <c r="O997" s="9"/>
    </row>
    <row r="998">
      <c r="A998" s="8"/>
      <c r="C998" s="8"/>
      <c r="O998" s="9"/>
    </row>
    <row r="999">
      <c r="A999" s="8"/>
      <c r="C999" s="8"/>
      <c r="O999" s="9"/>
    </row>
    <row r="1000">
      <c r="A1000" s="8"/>
      <c r="C1000" s="8"/>
      <c r="O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75"/>
  </cols>
  <sheetData>
    <row r="1"/>
    <row r="2"/>
    <row r="3"/>
    <row r="4"/>
    <row r="5"/>
    <row r="6">
      <c r="N6" s="9"/>
    </row>
    <row r="7">
      <c r="N7" s="9"/>
    </row>
    <row r="8">
      <c r="N8" s="9"/>
    </row>
    <row r="9">
      <c r="N9" s="9"/>
    </row>
    <row r="10">
      <c r="N10" s="9"/>
    </row>
    <row r="11">
      <c r="N11" s="9"/>
    </row>
    <row r="12">
      <c r="N12" s="9"/>
    </row>
    <row r="13">
      <c r="N13" s="9"/>
    </row>
    <row r="14">
      <c r="N14" s="9"/>
    </row>
    <row r="15">
      <c r="N15" s="9"/>
    </row>
    <row r="16">
      <c r="N16" s="9"/>
    </row>
    <row r="17">
      <c r="N17" s="9"/>
    </row>
    <row r="18">
      <c r="N18" s="9"/>
    </row>
    <row r="19">
      <c r="N19" s="9"/>
    </row>
    <row r="20">
      <c r="N20" s="9"/>
    </row>
    <row r="21">
      <c r="N21" s="9"/>
    </row>
    <row r="22">
      <c r="N22" s="9"/>
    </row>
    <row r="23">
      <c r="N23" s="9"/>
    </row>
    <row r="24">
      <c r="N24" s="9"/>
    </row>
    <row r="25">
      <c r="N25" s="9"/>
    </row>
    <row r="26">
      <c r="N26" s="9"/>
    </row>
    <row r="27">
      <c r="N27" s="9"/>
    </row>
    <row r="28">
      <c r="N28" s="9"/>
    </row>
    <row r="29">
      <c r="N29" s="9"/>
    </row>
    <row r="30">
      <c r="N30" s="9"/>
    </row>
    <row r="31">
      <c r="N31" s="9"/>
    </row>
    <row r="32">
      <c r="N32" s="9"/>
    </row>
    <row r="33">
      <c r="N33" s="9"/>
    </row>
    <row r="34">
      <c r="N34" s="9"/>
    </row>
    <row r="35">
      <c r="N35" s="9"/>
    </row>
    <row r="36">
      <c r="N36" s="9"/>
    </row>
    <row r="37">
      <c r="N37" s="9"/>
    </row>
    <row r="38">
      <c r="N38" s="9"/>
    </row>
    <row r="39">
      <c r="N39" s="9"/>
    </row>
    <row r="40">
      <c r="N40" s="9"/>
    </row>
    <row r="41">
      <c r="N41" s="9"/>
    </row>
    <row r="42">
      <c r="N42" s="9"/>
    </row>
    <row r="43">
      <c r="N43" s="9"/>
    </row>
    <row r="44">
      <c r="N44" s="9"/>
    </row>
    <row r="45">
      <c r="N45" s="9"/>
    </row>
    <row r="46">
      <c r="N46" s="9"/>
    </row>
    <row r="47">
      <c r="N47" s="9"/>
    </row>
    <row r="48">
      <c r="N48" s="9"/>
    </row>
    <row r="49">
      <c r="N49" s="9"/>
    </row>
    <row r="50">
      <c r="N50" s="9"/>
    </row>
    <row r="51">
      <c r="N51" s="9"/>
    </row>
    <row r="52">
      <c r="N52" s="9"/>
    </row>
    <row r="53">
      <c r="N53" s="9"/>
    </row>
    <row r="54">
      <c r="N54" s="9"/>
    </row>
    <row r="55">
      <c r="N55" s="9"/>
    </row>
    <row r="56">
      <c r="N56" s="9"/>
    </row>
    <row r="57">
      <c r="N57" s="9"/>
    </row>
    <row r="58">
      <c r="N58" s="9"/>
    </row>
    <row r="59">
      <c r="N59" s="9"/>
    </row>
    <row r="60">
      <c r="N60" s="9"/>
    </row>
    <row r="61">
      <c r="N61" s="9"/>
    </row>
    <row r="62">
      <c r="N62" s="9"/>
    </row>
    <row r="63">
      <c r="N63" s="9"/>
    </row>
    <row r="64">
      <c r="N64" s="9"/>
    </row>
    <row r="65">
      <c r="N65" s="9"/>
    </row>
    <row r="66">
      <c r="N66" s="9"/>
    </row>
    <row r="67">
      <c r="N67" s="9"/>
    </row>
    <row r="68">
      <c r="N68" s="9"/>
    </row>
    <row r="69">
      <c r="N69" s="9"/>
    </row>
    <row r="70">
      <c r="N70" s="9"/>
    </row>
    <row r="71">
      <c r="N71" s="9"/>
    </row>
    <row r="72">
      <c r="N72" s="9"/>
    </row>
    <row r="73">
      <c r="N73" s="9"/>
    </row>
    <row r="74">
      <c r="N74" s="9"/>
    </row>
    <row r="75">
      <c r="N75" s="9"/>
    </row>
    <row r="76">
      <c r="N76" s="9"/>
    </row>
    <row r="77">
      <c r="N77" s="9"/>
    </row>
    <row r="78">
      <c r="N78" s="9"/>
    </row>
    <row r="79">
      <c r="N79" s="9"/>
    </row>
    <row r="80">
      <c r="N80" s="9"/>
    </row>
    <row r="81">
      <c r="N81" s="9"/>
    </row>
    <row r="82">
      <c r="N82" s="9"/>
    </row>
    <row r="83">
      <c r="N83" s="9"/>
    </row>
    <row r="84">
      <c r="N84" s="9"/>
    </row>
    <row r="85">
      <c r="N85" s="9"/>
    </row>
    <row r="86">
      <c r="N86" s="9"/>
    </row>
    <row r="87">
      <c r="N87" s="9"/>
    </row>
    <row r="88">
      <c r="N88" s="9"/>
    </row>
    <row r="89">
      <c r="N89" s="9"/>
    </row>
    <row r="90">
      <c r="N90" s="9"/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  <row r="109">
      <c r="N109" s="9"/>
    </row>
    <row r="110">
      <c r="N110" s="9"/>
    </row>
    <row r="111">
      <c r="N111" s="9"/>
    </row>
    <row r="112">
      <c r="N112" s="9"/>
    </row>
    <row r="113">
      <c r="N113" s="9"/>
    </row>
    <row r="114">
      <c r="N114" s="9"/>
    </row>
    <row r="115">
      <c r="N115" s="9"/>
    </row>
    <row r="116">
      <c r="N116" s="9"/>
    </row>
    <row r="117"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  <row r="1000">
      <c r="N1000" s="9"/>
    </row>
  </sheetData>
  <drawing r:id="rId4"/>
</worksheet>
</file>